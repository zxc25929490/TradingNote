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on\Downloads\"/>
    </mc:Choice>
  </mc:AlternateContent>
  <xr:revisionPtr revIDLastSave="0" documentId="13_ncr:1_{CB17BB00-2718-4836-ADFE-015CFD35A126}" xr6:coauthVersionLast="47" xr6:coauthVersionMax="47" xr10:uidLastSave="{00000000-0000-0000-0000-000000000000}"/>
  <bookViews>
    <workbookView xWindow="-120" yWindow="-120" windowWidth="29040" windowHeight="15720" xr2:uid="{81EA06E7-9057-42F8-8E1C-52AB36071554}"/>
  </bookViews>
  <sheets>
    <sheet name="工作表1" sheetId="1" r:id="rId1"/>
  </sheets>
  <definedNames>
    <definedName name="_xlnm._FilterDatabase" localSheetId="0" hidden="1">工作表1!$A$1:$I$47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1" l="1" a="1"/>
  <c r="M8" i="1" s="1"/>
  <c r="M9" i="1" a="1"/>
  <c r="M9" i="1" s="1"/>
  <c r="L8" i="1" a="1"/>
  <c r="L8" i="1" s="1"/>
  <c r="M4" i="1" a="1"/>
  <c r="M4" i="1" s="1"/>
  <c r="M5" i="1" a="1"/>
  <c r="M5" i="1" s="1"/>
  <c r="O9" i="1"/>
  <c r="O8" i="1"/>
  <c r="N9" i="1" a="1"/>
  <c r="N9" i="1" s="1"/>
  <c r="N8" i="1" a="1"/>
  <c r="N8" i="1" s="1"/>
  <c r="L9" i="1" a="1"/>
  <c r="L9" i="1" s="1"/>
  <c r="O5" i="1"/>
  <c r="O4" i="1"/>
  <c r="L4" i="1" a="1"/>
  <c r="L4" i="1" s="1"/>
  <c r="L5" i="1" a="1"/>
  <c r="L5" i="1" s="1"/>
  <c r="N4" i="1" a="1"/>
  <c r="N4" i="1" s="1"/>
  <c r="N5" i="1" a="1"/>
  <c r="N5" i="1" s="1"/>
  <c r="P4" i="1" l="1"/>
  <c r="P8" i="1"/>
  <c r="P9" i="1"/>
  <c r="P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<sst xmlns="http://schemas.openxmlformats.org/spreadsheetml/2006/main" count="334" uniqueCount="39">
  <si>
    <t>Pair</t>
  </si>
  <si>
    <t>ATR</t>
    <phoneticPr fontId="2" type="noConversion"/>
  </si>
  <si>
    <t>DJ30</t>
    <phoneticPr fontId="2" type="noConversion"/>
  </si>
  <si>
    <t>NAS100</t>
    <phoneticPr fontId="2" type="noConversion"/>
  </si>
  <si>
    <t>突破</t>
    <phoneticPr fontId="2" type="noConversion"/>
  </si>
  <si>
    <t>回撤</t>
    <phoneticPr fontId="2" type="noConversion"/>
  </si>
  <si>
    <t>TIME 30min</t>
    <phoneticPr fontId="2" type="noConversion"/>
  </si>
  <si>
    <t>loss</t>
    <phoneticPr fontId="2" type="noConversion"/>
  </si>
  <si>
    <t>win rate</t>
    <phoneticPr fontId="2" type="noConversion"/>
  </si>
  <si>
    <r>
      <rPr>
        <b/>
        <sz val="12"/>
        <color theme="1"/>
        <rFont val="Microsoft JhengHei"/>
        <family val="2"/>
        <charset val="136"/>
      </rPr>
      <t>時間</t>
    </r>
    <phoneticPr fontId="2" type="noConversion"/>
  </si>
  <si>
    <r>
      <rPr>
        <b/>
        <sz val="12"/>
        <color theme="1"/>
        <rFont val="Microsoft JhengHei"/>
        <family val="2"/>
        <charset val="136"/>
      </rPr>
      <t>進場方式</t>
    </r>
    <phoneticPr fontId="2" type="noConversion"/>
  </si>
  <si>
    <r>
      <rPr>
        <b/>
        <sz val="12"/>
        <color theme="1"/>
        <rFont val="Microsoft JhengHei"/>
        <family val="2"/>
        <charset val="136"/>
      </rPr>
      <t>結果</t>
    </r>
    <r>
      <rPr>
        <b/>
        <sz val="12"/>
        <color theme="1"/>
        <rFont val="Times New Roman"/>
        <family val="1"/>
      </rPr>
      <t>: TP</t>
    </r>
    <r>
      <rPr>
        <b/>
        <sz val="12"/>
        <color theme="1"/>
        <rFont val="Microsoft JhengHei"/>
        <family val="2"/>
        <charset val="136"/>
      </rPr>
      <t>走多少</t>
    </r>
    <r>
      <rPr>
        <b/>
        <sz val="12"/>
        <color theme="1"/>
        <rFont val="Times New Roman"/>
        <family val="1"/>
      </rPr>
      <t>R(</t>
    </r>
    <r>
      <rPr>
        <b/>
        <sz val="12"/>
        <color theme="1"/>
        <rFont val="Microsoft JhengHei"/>
        <family val="2"/>
        <charset val="136"/>
      </rPr>
      <t>原本</t>
    </r>
    <r>
      <rPr>
        <b/>
        <sz val="12"/>
        <color theme="1"/>
        <rFont val="Times New Roman"/>
        <family val="1"/>
      </rPr>
      <t>SL)</t>
    </r>
    <phoneticPr fontId="2" type="noConversion"/>
  </si>
  <si>
    <r>
      <rPr>
        <b/>
        <sz val="12"/>
        <color theme="1"/>
        <rFont val="Microsoft JhengHei"/>
        <family val="2"/>
        <charset val="136"/>
      </rPr>
      <t>結果</t>
    </r>
    <r>
      <rPr>
        <b/>
        <sz val="12"/>
        <color theme="1"/>
        <rFont val="Times New Roman"/>
        <family val="1"/>
      </rPr>
      <t>: TP</t>
    </r>
    <r>
      <rPr>
        <b/>
        <sz val="12"/>
        <color theme="1"/>
        <rFont val="Microsoft JhengHei"/>
        <family val="2"/>
        <charset val="136"/>
      </rPr>
      <t>能走多少</t>
    </r>
    <r>
      <rPr>
        <b/>
        <sz val="12"/>
        <color theme="1"/>
        <rFont val="Times New Roman"/>
        <family val="1"/>
      </rPr>
      <t>R(</t>
    </r>
    <r>
      <rPr>
        <b/>
        <sz val="12"/>
        <color theme="1"/>
        <rFont val="Microsoft JhengHei"/>
        <family val="2"/>
        <charset val="136"/>
      </rPr>
      <t>支撐上</t>
    </r>
    <r>
      <rPr>
        <b/>
        <sz val="12"/>
        <color theme="1"/>
        <rFont val="Times New Roman"/>
        <family val="1"/>
      </rPr>
      <t>)</t>
    </r>
    <phoneticPr fontId="2" type="noConversion"/>
  </si>
  <si>
    <r>
      <rPr>
        <b/>
        <sz val="12"/>
        <color theme="1"/>
        <rFont val="Microsoft JhengHei"/>
        <family val="2"/>
        <charset val="136"/>
      </rPr>
      <t>支撐</t>
    </r>
    <r>
      <rPr>
        <b/>
        <sz val="12"/>
        <color theme="1"/>
        <rFont val="Times New Roman"/>
        <family val="1"/>
      </rPr>
      <t>SL</t>
    </r>
    <phoneticPr fontId="2" type="noConversion"/>
  </si>
  <si>
    <r>
      <rPr>
        <b/>
        <sz val="12"/>
        <color theme="1"/>
        <rFont val="Microsoft JhengHei"/>
        <family val="2"/>
        <charset val="136"/>
      </rPr>
      <t>機會太少會找理由進場</t>
    </r>
    <r>
      <rPr>
        <b/>
        <sz val="12"/>
        <color theme="1"/>
        <rFont val="Times New Roman"/>
        <family val="1"/>
      </rPr>
      <t>?</t>
    </r>
    <phoneticPr fontId="2" type="noConversion"/>
  </si>
  <si>
    <r>
      <rPr>
        <sz val="12"/>
        <color theme="1"/>
        <rFont val="新細明體"/>
        <family val="2"/>
        <charset val="136"/>
      </rPr>
      <t>突破</t>
    </r>
    <phoneticPr fontId="2" type="noConversion"/>
  </si>
  <si>
    <r>
      <rPr>
        <sz val="12"/>
        <color theme="1"/>
        <rFont val="新細明體"/>
        <family val="2"/>
        <charset val="136"/>
      </rPr>
      <t>回撤時機晚且</t>
    </r>
    <r>
      <rPr>
        <sz val="12"/>
        <color theme="1"/>
        <rFont val="Times New Roman"/>
        <family val="1"/>
      </rPr>
      <t>SL</t>
    </r>
    <r>
      <rPr>
        <sz val="12"/>
        <color theme="1"/>
        <rFont val="新細明體"/>
        <family val="2"/>
        <charset val="136"/>
      </rPr>
      <t>要更大</t>
    </r>
    <phoneticPr fontId="2" type="noConversion"/>
  </si>
  <si>
    <r>
      <rPr>
        <sz val="12"/>
        <color theme="1"/>
        <rFont val="新細明體"/>
        <family val="2"/>
        <charset val="136"/>
      </rPr>
      <t>選擇乾淨的</t>
    </r>
    <r>
      <rPr>
        <sz val="12"/>
        <color theme="1"/>
        <rFont val="Times New Roman"/>
        <family val="1"/>
      </rPr>
      <t>Symbol</t>
    </r>
    <phoneticPr fontId="2" type="noConversion"/>
  </si>
  <si>
    <r>
      <rPr>
        <sz val="12"/>
        <color theme="1"/>
        <rFont val="新細明體"/>
        <family val="2"/>
        <charset val="136"/>
      </rPr>
      <t>回撤</t>
    </r>
    <phoneticPr fontId="2" type="noConversion"/>
  </si>
  <si>
    <r>
      <rPr>
        <sz val="12"/>
        <color theme="1"/>
        <rFont val="新細明體"/>
        <family val="2"/>
        <charset val="136"/>
      </rPr>
      <t>回撤</t>
    </r>
  </si>
  <si>
    <r>
      <rPr>
        <sz val="12"/>
        <color theme="1"/>
        <rFont val="Microsoft JhengHei"/>
        <family val="1"/>
      </rPr>
      <t>提早進場可以早點</t>
    </r>
    <r>
      <rPr>
        <sz val="12"/>
        <color theme="1"/>
        <rFont val="Times New Roman"/>
        <family val="1"/>
      </rPr>
      <t>BE</t>
    </r>
    <phoneticPr fontId="2" type="noConversion"/>
  </si>
  <si>
    <t>ONE more push</t>
    <phoneticPr fontId="2" type="noConversion"/>
  </si>
  <si>
    <r>
      <rPr>
        <b/>
        <i/>
        <sz val="12"/>
        <color theme="1"/>
        <rFont val="新細明體"/>
        <family val="2"/>
        <charset val="136"/>
      </rPr>
      <t>結果</t>
    </r>
    <r>
      <rPr>
        <b/>
        <i/>
        <sz val="12"/>
        <color theme="1"/>
        <rFont val="Times New Roman"/>
        <family val="1"/>
      </rPr>
      <t>: TP</t>
    </r>
    <r>
      <rPr>
        <b/>
        <i/>
        <sz val="12"/>
        <color theme="1"/>
        <rFont val="新細明體"/>
        <family val="2"/>
        <charset val="136"/>
      </rPr>
      <t>走多少</t>
    </r>
    <r>
      <rPr>
        <b/>
        <i/>
        <sz val="12"/>
        <color theme="1"/>
        <rFont val="Times New Roman"/>
        <family val="1"/>
      </rPr>
      <t>R(</t>
    </r>
    <r>
      <rPr>
        <b/>
        <i/>
        <sz val="12"/>
        <color theme="1"/>
        <rFont val="新細明體"/>
        <family val="2"/>
        <charset val="136"/>
      </rPr>
      <t>原本</t>
    </r>
    <r>
      <rPr>
        <b/>
        <i/>
        <sz val="12"/>
        <color theme="1"/>
        <rFont val="Times New Roman"/>
        <family val="1"/>
      </rPr>
      <t>SL)</t>
    </r>
  </si>
  <si>
    <r>
      <rPr>
        <b/>
        <i/>
        <sz val="12"/>
        <color theme="1"/>
        <rFont val="新細明體"/>
        <family val="2"/>
        <charset val="136"/>
      </rPr>
      <t>平均</t>
    </r>
    <r>
      <rPr>
        <b/>
        <i/>
        <sz val="12"/>
        <color theme="1"/>
        <rFont val="Times New Roman"/>
        <family val="1"/>
      </rPr>
      <t>R&amp;R</t>
    </r>
    <phoneticPr fontId="2" type="noConversion"/>
  </si>
  <si>
    <r>
      <t>total</t>
    </r>
    <r>
      <rPr>
        <b/>
        <i/>
        <sz val="12"/>
        <color theme="1"/>
        <rFont val="新細明體"/>
        <family val="2"/>
        <charset val="136"/>
      </rPr>
      <t>比數</t>
    </r>
    <phoneticPr fontId="2" type="noConversion"/>
  </si>
  <si>
    <r>
      <rPr>
        <b/>
        <i/>
        <sz val="12"/>
        <color theme="1"/>
        <rFont val="Microsoft JhengHei"/>
        <family val="2"/>
        <charset val="136"/>
      </rPr>
      <t>結果</t>
    </r>
    <r>
      <rPr>
        <b/>
        <i/>
        <sz val="12"/>
        <color theme="1"/>
        <rFont val="Times New Roman"/>
        <family val="1"/>
      </rPr>
      <t>: TP</t>
    </r>
    <r>
      <rPr>
        <b/>
        <i/>
        <sz val="12"/>
        <color theme="1"/>
        <rFont val="Microsoft JhengHei"/>
        <family val="2"/>
        <charset val="136"/>
      </rPr>
      <t>能走多少</t>
    </r>
    <r>
      <rPr>
        <b/>
        <i/>
        <sz val="12"/>
        <color theme="1"/>
        <rFont val="Times New Roman"/>
        <family val="1"/>
      </rPr>
      <t>R(</t>
    </r>
    <r>
      <rPr>
        <b/>
        <i/>
        <sz val="12"/>
        <color theme="1"/>
        <rFont val="Microsoft JhengHei"/>
        <family val="2"/>
        <charset val="136"/>
      </rPr>
      <t>支撐上</t>
    </r>
    <r>
      <rPr>
        <b/>
        <i/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</si>
  <si>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Microsoft JhengHei"/>
        <family val="1"/>
      </rPr>
      <t>會有很多</t>
    </r>
    <r>
      <rPr>
        <sz val="12"/>
        <color theme="1"/>
        <rFont val="Times New Roman"/>
        <family val="1"/>
      </rPr>
      <t>be</t>
    </r>
    <r>
      <rPr>
        <sz val="12"/>
        <color theme="1"/>
        <rFont val="細明體"/>
        <family val="1"/>
        <charset val="136"/>
      </rPr>
      <t>，</t>
    </r>
    <r>
      <rPr>
        <sz val="12"/>
        <color theme="1"/>
        <rFont val="Microsoft JhengHei"/>
        <family val="1"/>
      </rPr>
      <t>是正常的</t>
    </r>
    <phoneticPr fontId="2" type="noConversion"/>
  </si>
  <si>
    <r>
      <rPr>
        <b/>
        <i/>
        <sz val="12"/>
        <color theme="1"/>
        <rFont val="新細明體"/>
        <family val="2"/>
        <charset val="136"/>
      </rPr>
      <t>平均</t>
    </r>
    <r>
      <rPr>
        <b/>
        <i/>
        <sz val="12"/>
        <color theme="1"/>
        <rFont val="Times New Roman"/>
        <family val="1"/>
      </rPr>
      <t>R&amp;R(max 5R)</t>
    </r>
    <phoneticPr fontId="2" type="noConversion"/>
  </si>
  <si>
    <t>DJ30</t>
    <phoneticPr fontId="2" type="noConversion"/>
  </si>
  <si>
    <t>突破</t>
    <phoneticPr fontId="2" type="noConversion"/>
  </si>
  <si>
    <t>NAS100</t>
    <phoneticPr fontId="2" type="noConversion"/>
  </si>
  <si>
    <t>NAS100</t>
    <phoneticPr fontId="2" type="noConversion"/>
  </si>
  <si>
    <t>DJ30</t>
    <phoneticPr fontId="2" type="noConversion"/>
  </si>
  <si>
    <t>NAS100</t>
    <phoneticPr fontId="2" type="noConversion"/>
  </si>
  <si>
    <t>突破</t>
    <phoneticPr fontId="2" type="noConversion"/>
  </si>
  <si>
    <t>NAS100</t>
    <phoneticPr fontId="2" type="noConversion"/>
  </si>
  <si>
    <t>NAS100</t>
    <phoneticPr fontId="2" type="noConversion"/>
  </si>
  <si>
    <t>突破</t>
    <phoneticPr fontId="2" type="noConversion"/>
  </si>
  <si>
    <t>NAS100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</si>
</sst>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Microsoft JhengHei"/>
      <family val="2"/>
      <charset val="136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Microsoft JhengHei"/>
      <family val="1"/>
    </font>
    <font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color theme="1"/>
      <name val="新細明體"/>
      <family val="2"/>
      <charset val="136"/>
    </font>
    <font>
      <b/>
      <i/>
      <sz val="12"/>
      <color theme="1"/>
      <name val="Microsoft JhengHei"/>
      <family val="2"/>
      <charset val="136"/>
    </font>
    <font>
      <sz val="12"/>
      <color theme="1"/>
      <name val="細明體"/>
      <family val="1"/>
      <charset val="136"/>
    </font>
    <font>
      <b/>
      <i/>
      <sz val="12"/>
      <color theme="1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76" fontId="5" fillId="0" borderId="2" xfId="0" applyNumberFormat="1" applyFont="1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3" xfId="0" applyFont="1" applyFill="1" applyBorder="1">
      <alignment vertical="center"/>
    </xf>
    <xf numFmtId="0" fontId="6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4" xfId="0" applyFont="1" applyBorder="1" applyAlignment="1">
      <alignment vertical="center" wrapText="1"/>
    </xf>
    <xf numFmtId="0" fontId="12" fillId="0" borderId="4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15DC-31A0-4C1F-BB26-9BAD05172A43}">
  <dimension ref="A1:P195"/>
  <sheetViews>
    <sheetView tabSelected="1" workbookViewId="0">
      <pane ySplit="1" topLeftCell="A168" activePane="bottomLeft" state="frozen"/>
      <selection pane="bottomLeft" activeCell="I194" sqref="I194"/>
    </sheetView>
  </sheetViews>
  <sheetFormatPr defaultRowHeight="16.5"/>
  <cols>
    <col min="3" max="3" width="16.125" customWidth="1"/>
    <col min="5" max="5" width="29.125" hidden="1" customWidth="1"/>
    <col min="6" max="6" width="27.75" customWidth="1"/>
    <col min="9" max="9" width="28.75" customWidth="1"/>
    <col min="11" max="11" width="31" customWidth="1"/>
    <col min="12" max="12" width="13" customWidth="1"/>
    <col min="13" max="13" width="19.5" bestFit="1" customWidth="1"/>
    <col min="14" max="14" width="14.25" customWidth="1"/>
  </cols>
  <sheetData>
    <row r="1" spans="1:16" ht="31.5">
      <c r="A1" s="2" t="s">
        <v>9</v>
      </c>
      <c r="B1" s="2" t="s">
        <v>1</v>
      </c>
      <c r="C1" s="2" t="s">
        <v>0</v>
      </c>
      <c r="D1" s="2" t="s">
        <v>10</v>
      </c>
      <c r="E1" s="2" t="s">
        <v>11</v>
      </c>
      <c r="F1" s="2" t="s">
        <v>12</v>
      </c>
      <c r="G1" s="2" t="s">
        <v>13</v>
      </c>
      <c r="H1" s="3" t="s">
        <v>6</v>
      </c>
      <c r="I1" s="4" t="s">
        <v>14</v>
      </c>
    </row>
    <row r="2" spans="1:16">
      <c r="A2" s="5">
        <v>46027</v>
      </c>
      <c r="B2" s="6">
        <v>26</v>
      </c>
      <c r="C2" s="6" t="s">
        <v>2</v>
      </c>
      <c r="D2" s="6" t="s">
        <v>15</v>
      </c>
      <c r="E2" s="6">
        <v>22</v>
      </c>
      <c r="F2" s="6">
        <v>22</v>
      </c>
      <c r="G2" s="6">
        <v>20</v>
      </c>
      <c r="H2" s="7"/>
      <c r="I2" s="7"/>
    </row>
    <row r="3" spans="1:16" ht="17.25" thickBot="1">
      <c r="A3" s="5">
        <v>46027</v>
      </c>
      <c r="B3" s="6">
        <v>18</v>
      </c>
      <c r="C3" s="6" t="s">
        <v>3</v>
      </c>
      <c r="D3" s="6" t="s">
        <v>15</v>
      </c>
      <c r="E3" s="6">
        <v>0</v>
      </c>
      <c r="F3" s="6">
        <v>0</v>
      </c>
      <c r="G3" s="6">
        <v>10</v>
      </c>
      <c r="H3" s="7"/>
      <c r="I3" s="7" t="s">
        <v>16</v>
      </c>
      <c r="K3" s="13" t="s">
        <v>22</v>
      </c>
      <c r="L3" s="13" t="s">
        <v>23</v>
      </c>
      <c r="M3" s="15" t="s">
        <v>27</v>
      </c>
      <c r="N3" s="13" t="s">
        <v>24</v>
      </c>
      <c r="O3" s="13" t="s">
        <v>7</v>
      </c>
      <c r="P3" s="13" t="s">
        <v>8</v>
      </c>
    </row>
    <row r="4" spans="1:16">
      <c r="A4" s="5">
        <v>46028</v>
      </c>
      <c r="B4" s="6">
        <v>18</v>
      </c>
      <c r="C4" s="6" t="s">
        <v>2</v>
      </c>
      <c r="D4" s="6" t="s">
        <v>15</v>
      </c>
      <c r="E4" s="6">
        <v>0</v>
      </c>
      <c r="F4" s="6">
        <v>0</v>
      </c>
      <c r="G4" s="6">
        <v>20</v>
      </c>
      <c r="H4" s="7"/>
      <c r="I4" s="7"/>
      <c r="K4" s="10" t="s">
        <v>18</v>
      </c>
      <c r="L4" s="11" cm="1">
        <f t="array" ref="L4">AVERAGE(_xlfn._xlws.FILTER(E2:E100, D2:D100="回撤"))</f>
        <v>1.5826086956521739</v>
      </c>
      <c r="M4" s="10" cm="1">
        <f t="array" ref="M4">AVERAGE(IF(_xlfn._xlws.FILTER(E2:E101, D2:D101="回撤")&gt;5, 5, _xlfn._xlws.FILTER(E2:E101, D2:D101="回撤")))</f>
        <v>1.4195652173913043</v>
      </c>
      <c r="N4" s="11" cm="1">
        <f t="array" ref="N4">ROWS(_xlfn._xlws.FILTER(A2:E100, D2:D100="回撤"))</f>
        <v>23</v>
      </c>
      <c r="O4" s="10">
        <f>COUNTIFS(D:D,"回撤", E:E,"&lt;0")</f>
        <v>7</v>
      </c>
      <c r="P4" s="10">
        <f>(N4-O4)/N4</f>
        <v>0.69565217391304346</v>
      </c>
    </row>
    <row r="5" spans="1:16">
      <c r="A5" s="5">
        <v>46028</v>
      </c>
      <c r="B5" s="6">
        <v>15</v>
      </c>
      <c r="C5" s="6" t="s">
        <v>3</v>
      </c>
      <c r="D5" s="6" t="s">
        <v>15</v>
      </c>
      <c r="E5" s="6">
        <v>0</v>
      </c>
      <c r="F5" s="6">
        <v>2.5</v>
      </c>
      <c r="G5" s="6">
        <v>10</v>
      </c>
      <c r="H5" s="7"/>
      <c r="I5" s="7" t="s">
        <v>17</v>
      </c>
      <c r="K5" s="6" t="s">
        <v>15</v>
      </c>
      <c r="L5" s="12" cm="1">
        <f t="array" ref="L5">AVERAGE(_xlfn._xlws.FILTER(E2:E100, D2:D100="突破"))</f>
        <v>2.036170212765958</v>
      </c>
      <c r="M5" s="6" cm="1">
        <f t="array" ref="M5">AVERAGE(IF(_xlfn._xlws.FILTER(E2:E100, D2:D100="突破")&gt;5, 5, _xlfn._xlws.FILTER(E2:E100, D2:D100="突破")))</f>
        <v>1</v>
      </c>
      <c r="N5" s="12" cm="1">
        <f t="array" ref="N5">ROWS(_xlfn._xlws.FILTER(A2:E100, D2:D100="突破"))</f>
        <v>70</v>
      </c>
      <c r="O5" s="6">
        <f>COUNTIFS(D:D,"突破", E:E,"&lt;0")</f>
        <v>9</v>
      </c>
      <c r="P5" s="6">
        <f>(N5-O5)/N5</f>
        <v>0.87142857142857144</v>
      </c>
    </row>
    <row r="6" spans="1:16">
      <c r="A6" s="5">
        <v>46028</v>
      </c>
      <c r="B6" s="6">
        <v>15</v>
      </c>
      <c r="C6" s="6" t="s">
        <v>3</v>
      </c>
      <c r="D6" s="6" t="s">
        <v>18</v>
      </c>
      <c r="E6" s="6">
        <v>0</v>
      </c>
      <c r="F6" s="6">
        <v>2.7</v>
      </c>
      <c r="G6" s="6">
        <v>10</v>
      </c>
      <c r="H6" s="7"/>
      <c r="I6" s="7"/>
      <c r="K6" s="6"/>
      <c r="L6" s="6"/>
      <c r="N6" s="6"/>
      <c r="O6" s="6"/>
      <c r="P6" s="6"/>
    </row>
    <row r="7" spans="1:16" ht="17.25" thickBot="1">
      <c r="A7" s="5">
        <v>46029</v>
      </c>
      <c r="B7" s="6">
        <v>17</v>
      </c>
      <c r="C7" s="6" t="s">
        <v>2</v>
      </c>
      <c r="D7" s="6" t="s">
        <v>15</v>
      </c>
      <c r="E7" s="6">
        <v>0</v>
      </c>
      <c r="F7" s="6">
        <v>0</v>
      </c>
      <c r="G7" s="6">
        <v>25</v>
      </c>
      <c r="H7" s="7"/>
      <c r="I7" s="7"/>
      <c r="K7" s="14" t="s">
        <v>25</v>
      </c>
      <c r="L7" s="13" t="s">
        <v>23</v>
      </c>
      <c r="M7" s="15" t="s">
        <v>27</v>
      </c>
      <c r="N7" s="13" t="s">
        <v>24</v>
      </c>
      <c r="O7" s="13" t="s">
        <v>7</v>
      </c>
      <c r="P7" s="13" t="s">
        <v>8</v>
      </c>
    </row>
    <row r="8" spans="1:16">
      <c r="A8" s="5">
        <v>46029</v>
      </c>
      <c r="B8" s="6">
        <v>12</v>
      </c>
      <c r="C8" s="6" t="s">
        <v>3</v>
      </c>
      <c r="D8" s="6" t="s">
        <v>15</v>
      </c>
      <c r="E8" s="6">
        <v>0</v>
      </c>
      <c r="F8" s="6">
        <v>2.5</v>
      </c>
      <c r="G8" s="6">
        <v>6</v>
      </c>
      <c r="H8" s="7"/>
      <c r="I8" s="7" t="s">
        <v>20</v>
      </c>
      <c r="K8" s="10" t="s">
        <v>18</v>
      </c>
      <c r="L8" s="11" cm="1">
        <f t="array" ref="L8">AVERAGE(_xlfn._xlws.FILTER(F2:F103, D2:D103="回撤"))</f>
        <v>1.9430434782608699</v>
      </c>
      <c r="M8" s="10" cm="1">
        <f t="array" ref="M8">AVERAGE(IF(_xlfn._xlws.FILTER(F2:F103, D2:D103="回撤")&gt;5, 5, _xlfn._xlws.FILTER(F2:F103, D2:D103="回撤")))</f>
        <v>1.5599999999999998</v>
      </c>
      <c r="N8" s="11" cm="1">
        <f t="array" ref="N8">ROWS(_xlfn._xlws.FILTER(A2:E103, D2:D103="回撤"))</f>
        <v>23</v>
      </c>
      <c r="O8" s="10">
        <f>COUNTIFS(D:D,"回撤", F:F,"&lt;0")</f>
        <v>8</v>
      </c>
      <c r="P8" s="10">
        <f>(N8-O8)/N8</f>
        <v>0.65217391304347827</v>
      </c>
    </row>
    <row r="9" spans="1:16">
      <c r="A9" s="5">
        <v>46029</v>
      </c>
      <c r="B9" s="6">
        <v>12</v>
      </c>
      <c r="C9" s="6" t="s">
        <v>3</v>
      </c>
      <c r="D9" s="6" t="s">
        <v>15</v>
      </c>
      <c r="E9" s="6">
        <v>4</v>
      </c>
      <c r="F9" s="6">
        <v>11.7</v>
      </c>
      <c r="G9" s="6">
        <v>7</v>
      </c>
      <c r="H9" s="7"/>
      <c r="I9" s="7"/>
      <c r="K9" s="6" t="s">
        <v>15</v>
      </c>
      <c r="L9" s="12" cm="1">
        <f t="array" ref="L9">AVERAGE(_xlfn._xlws.FILTER(F2:F103, D2:D103="突破"))</f>
        <v>3.5140845070422535</v>
      </c>
      <c r="M9" s="6" cm="1">
        <f t="array" ref="M9">AVERAGE(IF(_xlfn._xlws.FILTER(F2:F103, D2:D103="突破")&gt;5, 5, _xlfn._xlws.FILTER(F2:F103, D2:D103="突破")))</f>
        <v>2.7592957746478879</v>
      </c>
      <c r="N9" s="12" cm="1">
        <f t="array" ref="N9">ROWS(_xlfn._xlws.FILTER(A2:A103, D2:D103="突破"))</f>
        <v>71</v>
      </c>
      <c r="O9" s="6">
        <f>COUNTIFS(D:D,"突破", F:F,"&lt;0")</f>
        <v>14</v>
      </c>
      <c r="P9" s="6">
        <f>(N9-O9)/N9</f>
        <v>0.80281690140845074</v>
      </c>
    </row>
    <row r="10" spans="1:16">
      <c r="A10" s="5">
        <v>46029</v>
      </c>
      <c r="B10" s="6">
        <v>17</v>
      </c>
      <c r="C10" s="6" t="s">
        <v>2</v>
      </c>
      <c r="D10" s="6" t="s">
        <v>15</v>
      </c>
      <c r="E10" s="6">
        <v>2.6</v>
      </c>
      <c r="F10" s="6">
        <v>3.82</v>
      </c>
      <c r="G10" s="6">
        <v>15</v>
      </c>
      <c r="H10" s="7"/>
      <c r="I10" s="7" t="s">
        <v>21</v>
      </c>
    </row>
    <row r="11" spans="1:16">
      <c r="A11" s="5">
        <v>46029</v>
      </c>
      <c r="B11" s="6">
        <v>35</v>
      </c>
      <c r="C11" s="6" t="s">
        <v>2</v>
      </c>
      <c r="D11" s="6" t="s">
        <v>19</v>
      </c>
      <c r="E11" s="6">
        <v>5.8</v>
      </c>
      <c r="F11" s="6">
        <v>-1</v>
      </c>
      <c r="G11" s="6">
        <v>15</v>
      </c>
      <c r="H11" s="7"/>
      <c r="I11" s="7"/>
    </row>
    <row r="12" spans="1:16">
      <c r="A12" s="5">
        <v>46030</v>
      </c>
      <c r="B12" s="6">
        <v>21</v>
      </c>
      <c r="C12" s="6" t="s">
        <v>3</v>
      </c>
      <c r="D12" s="6" t="s">
        <v>15</v>
      </c>
      <c r="E12" s="6">
        <v>9</v>
      </c>
      <c r="F12" s="6">
        <v>16</v>
      </c>
      <c r="G12" s="6">
        <v>10</v>
      </c>
      <c r="H12" s="7"/>
      <c r="I12" s="7" t="s">
        <v>26</v>
      </c>
    </row>
    <row r="13" spans="1:16">
      <c r="A13" s="5">
        <v>46030</v>
      </c>
      <c r="B13" s="6">
        <v>30</v>
      </c>
      <c r="C13" s="6" t="s">
        <v>2</v>
      </c>
      <c r="D13" s="6" t="s">
        <v>15</v>
      </c>
      <c r="E13" s="6">
        <v>2.56</v>
      </c>
      <c r="F13" s="6">
        <v>3.12</v>
      </c>
      <c r="G13" s="6">
        <v>25</v>
      </c>
      <c r="H13" s="7"/>
      <c r="I13" s="7"/>
    </row>
    <row r="14" spans="1:16">
      <c r="A14" s="5">
        <v>46030</v>
      </c>
      <c r="B14" s="6">
        <v>38</v>
      </c>
      <c r="C14" s="6" t="s">
        <v>2</v>
      </c>
      <c r="D14" s="6" t="s">
        <v>19</v>
      </c>
      <c r="E14" s="6">
        <v>5.38</v>
      </c>
      <c r="F14" s="6">
        <v>6.78</v>
      </c>
      <c r="G14" s="6">
        <v>30</v>
      </c>
      <c r="H14" s="7"/>
      <c r="I14" s="7"/>
    </row>
    <row r="15" spans="1:16">
      <c r="A15" s="5">
        <v>46034</v>
      </c>
      <c r="B15" s="6">
        <v>35</v>
      </c>
      <c r="C15" s="6" t="s">
        <v>2</v>
      </c>
      <c r="D15" s="6" t="s">
        <v>15</v>
      </c>
      <c r="E15" s="6">
        <v>4.9000000000000004</v>
      </c>
      <c r="F15" s="6">
        <v>7</v>
      </c>
      <c r="G15" s="6">
        <v>25</v>
      </c>
      <c r="H15" s="7"/>
      <c r="I15" s="7"/>
    </row>
    <row r="16" spans="1:16">
      <c r="A16" s="5">
        <v>46034</v>
      </c>
      <c r="B16" s="6">
        <v>23</v>
      </c>
      <c r="C16" s="6" t="s">
        <v>3</v>
      </c>
      <c r="D16" s="6" t="s">
        <v>15</v>
      </c>
      <c r="E16" s="6">
        <v>6.38</v>
      </c>
      <c r="F16" s="6">
        <v>15</v>
      </c>
      <c r="G16" s="6">
        <v>10</v>
      </c>
      <c r="H16" s="7"/>
      <c r="I16" s="7"/>
    </row>
    <row r="17" spans="1:9">
      <c r="A17" s="5">
        <v>46035</v>
      </c>
      <c r="B17" s="6">
        <v>38</v>
      </c>
      <c r="C17" s="6" t="s">
        <v>2</v>
      </c>
      <c r="D17" s="6" t="s">
        <v>15</v>
      </c>
      <c r="E17" s="6">
        <v>6.48</v>
      </c>
      <c r="F17" s="6">
        <v>0</v>
      </c>
      <c r="G17" s="6">
        <v>20</v>
      </c>
      <c r="H17" s="7"/>
      <c r="I17" s="7"/>
    </row>
    <row r="18" spans="1:9">
      <c r="A18" s="5">
        <v>46035</v>
      </c>
      <c r="B18" s="6">
        <v>41</v>
      </c>
      <c r="C18" s="6" t="s">
        <v>2</v>
      </c>
      <c r="D18" s="6" t="s">
        <v>19</v>
      </c>
      <c r="E18" s="6">
        <v>6.48</v>
      </c>
      <c r="F18" s="6">
        <v>10</v>
      </c>
      <c r="G18" s="6">
        <v>25</v>
      </c>
      <c r="H18" s="7"/>
      <c r="I18" s="7"/>
    </row>
    <row r="19" spans="1:9">
      <c r="A19" s="5">
        <v>46035</v>
      </c>
      <c r="B19" s="6">
        <v>25</v>
      </c>
      <c r="C19" s="6" t="s">
        <v>3</v>
      </c>
      <c r="D19" s="6" t="s">
        <v>15</v>
      </c>
      <c r="E19" s="6">
        <v>0</v>
      </c>
      <c r="F19" s="6">
        <v>2.4</v>
      </c>
      <c r="G19" s="6">
        <v>10</v>
      </c>
      <c r="H19" s="7"/>
      <c r="I19" s="7"/>
    </row>
    <row r="20" spans="1:9">
      <c r="A20" s="5">
        <v>46036</v>
      </c>
      <c r="B20" s="6">
        <v>33</v>
      </c>
      <c r="C20" s="6" t="s">
        <v>2</v>
      </c>
      <c r="D20" s="6" t="s">
        <v>15</v>
      </c>
      <c r="E20" s="6">
        <v>2.23</v>
      </c>
      <c r="F20" s="6">
        <v>3.9</v>
      </c>
      <c r="G20" s="6">
        <v>20</v>
      </c>
      <c r="H20" s="7"/>
      <c r="I20" s="7"/>
    </row>
    <row r="21" spans="1:9">
      <c r="A21" s="5">
        <v>46036</v>
      </c>
      <c r="B21" s="6">
        <v>40</v>
      </c>
      <c r="C21" s="6" t="s">
        <v>2</v>
      </c>
      <c r="D21" s="6" t="s">
        <v>19</v>
      </c>
      <c r="E21" s="6">
        <v>0</v>
      </c>
      <c r="F21" s="6">
        <v>0</v>
      </c>
      <c r="G21" s="6">
        <v>35</v>
      </c>
      <c r="H21" s="7"/>
      <c r="I21" s="7"/>
    </row>
    <row r="22" spans="1:9">
      <c r="A22" s="5">
        <v>46036</v>
      </c>
      <c r="B22" s="6">
        <v>20</v>
      </c>
      <c r="C22" s="6" t="s">
        <v>3</v>
      </c>
      <c r="D22" s="6" t="s">
        <v>15</v>
      </c>
      <c r="E22" s="6">
        <v>3</v>
      </c>
      <c r="F22" s="6">
        <v>3.91</v>
      </c>
      <c r="G22" s="6">
        <v>15</v>
      </c>
      <c r="H22" s="7"/>
      <c r="I22" s="7"/>
    </row>
    <row r="23" spans="1:9">
      <c r="A23" s="5">
        <v>46037</v>
      </c>
      <c r="B23" s="6">
        <v>40</v>
      </c>
      <c r="C23" s="6" t="s">
        <v>2</v>
      </c>
      <c r="D23" s="6" t="s">
        <v>15</v>
      </c>
      <c r="E23" s="6">
        <v>3.73</v>
      </c>
      <c r="F23" s="6">
        <v>4.34</v>
      </c>
      <c r="G23" s="6">
        <v>30</v>
      </c>
      <c r="H23" s="7"/>
      <c r="I23" s="7"/>
    </row>
    <row r="24" spans="1:9">
      <c r="A24" s="5">
        <v>46037</v>
      </c>
      <c r="B24" s="6">
        <v>35</v>
      </c>
      <c r="C24" s="6" t="s">
        <v>2</v>
      </c>
      <c r="D24" s="6" t="s">
        <v>19</v>
      </c>
      <c r="E24" s="6">
        <v>2.9</v>
      </c>
      <c r="F24" s="6">
        <v>0</v>
      </c>
      <c r="G24" s="6">
        <v>55</v>
      </c>
      <c r="H24" s="7"/>
      <c r="I24" s="7"/>
    </row>
    <row r="25" spans="1:9">
      <c r="A25" s="5">
        <v>46037</v>
      </c>
      <c r="B25" s="6">
        <v>22</v>
      </c>
      <c r="C25" s="6" t="s">
        <v>3</v>
      </c>
      <c r="D25" s="6" t="s">
        <v>15</v>
      </c>
      <c r="E25" s="6">
        <v>-1</v>
      </c>
      <c r="F25" s="6">
        <v>0</v>
      </c>
      <c r="G25" s="6">
        <v>12</v>
      </c>
      <c r="H25" s="7"/>
      <c r="I25" s="7"/>
    </row>
    <row r="26" spans="1:9">
      <c r="A26" s="5">
        <v>46037</v>
      </c>
      <c r="B26" s="6">
        <v>22</v>
      </c>
      <c r="C26" s="6" t="s">
        <v>3</v>
      </c>
      <c r="D26" s="6" t="s">
        <v>19</v>
      </c>
      <c r="E26" s="6">
        <v>0</v>
      </c>
      <c r="F26" s="6">
        <v>0</v>
      </c>
      <c r="G26" s="6">
        <v>12</v>
      </c>
      <c r="H26" s="7"/>
      <c r="I26" s="7"/>
    </row>
    <row r="27" spans="1:9">
      <c r="A27" s="5">
        <v>46083</v>
      </c>
      <c r="B27" s="6">
        <v>45</v>
      </c>
      <c r="C27" s="6" t="s">
        <v>2</v>
      </c>
      <c r="D27" s="6" t="s">
        <v>15</v>
      </c>
      <c r="E27" s="6">
        <v>6.84</v>
      </c>
      <c r="F27" s="6">
        <v>6.37</v>
      </c>
      <c r="G27" s="6">
        <v>50</v>
      </c>
      <c r="H27" s="7"/>
      <c r="I27" s="7"/>
    </row>
    <row r="28" spans="1:9">
      <c r="A28" s="5">
        <v>46083</v>
      </c>
      <c r="B28" s="6">
        <v>45</v>
      </c>
      <c r="C28" s="6" t="s">
        <v>2</v>
      </c>
      <c r="D28" s="6" t="s">
        <v>19</v>
      </c>
      <c r="E28" s="6">
        <v>6.09</v>
      </c>
      <c r="F28" s="6">
        <v>3.53</v>
      </c>
      <c r="G28" s="6">
        <v>80</v>
      </c>
      <c r="H28" s="7"/>
      <c r="I28" s="7"/>
    </row>
    <row r="29" spans="1:9">
      <c r="A29" s="5">
        <v>46083</v>
      </c>
      <c r="B29" s="6">
        <v>30</v>
      </c>
      <c r="C29" s="6" t="s">
        <v>3</v>
      </c>
      <c r="D29" s="6" t="s">
        <v>15</v>
      </c>
      <c r="E29" s="6">
        <v>5</v>
      </c>
      <c r="F29" s="6">
        <v>5</v>
      </c>
      <c r="G29" s="6">
        <v>30</v>
      </c>
      <c r="H29" s="7"/>
      <c r="I29" s="7"/>
    </row>
    <row r="30" spans="1:9">
      <c r="A30" s="5">
        <v>46083</v>
      </c>
      <c r="B30" s="6">
        <v>30</v>
      </c>
      <c r="C30" s="6" t="s">
        <v>3</v>
      </c>
      <c r="D30" s="6" t="s">
        <v>19</v>
      </c>
      <c r="E30" s="6">
        <v>4</v>
      </c>
      <c r="F30" s="6">
        <v>2</v>
      </c>
      <c r="G30" s="6">
        <v>60</v>
      </c>
      <c r="H30" s="7"/>
      <c r="I30" s="7"/>
    </row>
    <row r="31" spans="1:9">
      <c r="A31" s="5">
        <v>46084</v>
      </c>
      <c r="B31" s="6">
        <v>57</v>
      </c>
      <c r="C31" s="6" t="s">
        <v>2</v>
      </c>
      <c r="D31" s="6" t="s">
        <v>15</v>
      </c>
      <c r="E31" s="6">
        <v>-1</v>
      </c>
      <c r="F31" s="6">
        <v>-1</v>
      </c>
      <c r="G31" s="6">
        <v>30</v>
      </c>
      <c r="H31" s="7"/>
      <c r="I31" s="7"/>
    </row>
    <row r="32" spans="1:9">
      <c r="A32" s="5">
        <v>46084</v>
      </c>
      <c r="B32" s="6">
        <v>57</v>
      </c>
      <c r="C32" s="6" t="s">
        <v>2</v>
      </c>
      <c r="D32" s="6" t="s">
        <v>15</v>
      </c>
      <c r="E32" s="6">
        <v>-1</v>
      </c>
      <c r="F32" s="6">
        <v>-1</v>
      </c>
      <c r="G32" s="6">
        <v>30</v>
      </c>
      <c r="H32" s="7"/>
      <c r="I32" s="7"/>
    </row>
    <row r="33" spans="1:9">
      <c r="A33" s="5">
        <v>46084</v>
      </c>
      <c r="B33" s="6">
        <v>78</v>
      </c>
      <c r="C33" s="6" t="s">
        <v>2</v>
      </c>
      <c r="D33" s="6" t="s">
        <v>15</v>
      </c>
      <c r="E33" s="6">
        <v>2</v>
      </c>
      <c r="F33" s="6">
        <v>5.67</v>
      </c>
      <c r="G33" s="6">
        <v>30</v>
      </c>
      <c r="H33" s="7"/>
      <c r="I33" s="7"/>
    </row>
    <row r="34" spans="1:9">
      <c r="A34" s="5">
        <v>46084</v>
      </c>
      <c r="B34" s="6">
        <v>78</v>
      </c>
      <c r="C34" s="6" t="s">
        <v>2</v>
      </c>
      <c r="D34" s="6" t="s">
        <v>19</v>
      </c>
      <c r="E34" s="6">
        <v>2</v>
      </c>
      <c r="F34" s="6">
        <v>4.8600000000000003</v>
      </c>
      <c r="G34" s="6">
        <v>35</v>
      </c>
      <c r="H34" s="7"/>
      <c r="I34" s="7"/>
    </row>
    <row r="35" spans="1:9">
      <c r="A35" s="5">
        <v>46084</v>
      </c>
      <c r="B35" s="6">
        <v>35</v>
      </c>
      <c r="C35" s="6" t="s">
        <v>3</v>
      </c>
      <c r="D35" s="6" t="s">
        <v>15</v>
      </c>
      <c r="E35" s="6">
        <v>0</v>
      </c>
      <c r="F35" s="6">
        <v>2.2999999999999998</v>
      </c>
      <c r="G35" s="6">
        <v>25</v>
      </c>
      <c r="H35" s="7"/>
      <c r="I35" s="7"/>
    </row>
    <row r="36" spans="1:9">
      <c r="A36" s="5">
        <v>46084</v>
      </c>
      <c r="B36" s="6">
        <v>35</v>
      </c>
      <c r="C36" s="6" t="s">
        <v>3</v>
      </c>
      <c r="D36" s="6" t="s">
        <v>19</v>
      </c>
      <c r="E36" s="6">
        <v>-1</v>
      </c>
      <c r="F36" s="6">
        <v>-1</v>
      </c>
      <c r="G36" s="6">
        <v>25</v>
      </c>
      <c r="H36" s="7"/>
      <c r="I36" s="7"/>
    </row>
    <row r="37" spans="1:9">
      <c r="A37" s="5">
        <v>46084</v>
      </c>
      <c r="B37" s="6">
        <v>40</v>
      </c>
      <c r="C37" s="6" t="s">
        <v>3</v>
      </c>
      <c r="D37" s="6" t="s">
        <v>15</v>
      </c>
      <c r="E37" s="6">
        <v>0</v>
      </c>
      <c r="F37" s="6">
        <v>2.5</v>
      </c>
      <c r="G37" s="6">
        <v>20</v>
      </c>
      <c r="H37" s="7"/>
      <c r="I37" s="7"/>
    </row>
    <row r="38" spans="1:9">
      <c r="A38" s="5">
        <v>46085</v>
      </c>
      <c r="B38" s="6">
        <v>50</v>
      </c>
      <c r="C38" s="6" t="s">
        <v>2</v>
      </c>
      <c r="D38" s="6" t="s">
        <v>15</v>
      </c>
      <c r="E38" s="6">
        <v>1</v>
      </c>
      <c r="F38" s="6">
        <v>2.5</v>
      </c>
      <c r="G38" s="6">
        <v>25</v>
      </c>
      <c r="H38" s="7"/>
      <c r="I38" s="7"/>
    </row>
    <row r="39" spans="1:9">
      <c r="A39" s="5">
        <v>46085</v>
      </c>
      <c r="B39" s="6">
        <v>50</v>
      </c>
      <c r="C39" s="6" t="s">
        <v>2</v>
      </c>
      <c r="D39" s="6" t="s">
        <v>15</v>
      </c>
      <c r="E39" s="6">
        <v>3.25</v>
      </c>
      <c r="F39" s="6">
        <v>6.36</v>
      </c>
      <c r="G39" s="6">
        <v>25</v>
      </c>
      <c r="H39" s="7"/>
      <c r="I39" s="7"/>
    </row>
    <row r="40" spans="1:9">
      <c r="A40" s="5">
        <v>46085</v>
      </c>
      <c r="B40" s="6">
        <v>50</v>
      </c>
      <c r="C40" s="6" t="s">
        <v>2</v>
      </c>
      <c r="D40" s="6" t="s">
        <v>19</v>
      </c>
      <c r="E40" s="6">
        <v>2.59</v>
      </c>
      <c r="F40" s="6">
        <v>2</v>
      </c>
      <c r="G40" s="6">
        <v>60</v>
      </c>
      <c r="H40" s="7"/>
      <c r="I40" s="7"/>
    </row>
    <row r="41" spans="1:9">
      <c r="A41" s="5">
        <v>46085</v>
      </c>
      <c r="B41" s="6">
        <v>31</v>
      </c>
      <c r="C41" s="6" t="s">
        <v>3</v>
      </c>
      <c r="D41" s="6" t="s">
        <v>15</v>
      </c>
      <c r="E41" s="6">
        <v>-1</v>
      </c>
      <c r="F41" s="6">
        <v>-1</v>
      </c>
      <c r="G41" s="6">
        <v>20</v>
      </c>
      <c r="H41" s="7"/>
      <c r="I41" s="7"/>
    </row>
    <row r="42" spans="1:9">
      <c r="A42" s="5">
        <v>46085</v>
      </c>
      <c r="B42" s="6">
        <v>31</v>
      </c>
      <c r="C42" s="6" t="s">
        <v>3</v>
      </c>
      <c r="D42" s="6" t="s">
        <v>15</v>
      </c>
      <c r="E42" s="6">
        <v>-1</v>
      </c>
      <c r="F42" s="6">
        <v>-1</v>
      </c>
      <c r="G42" s="6">
        <v>20</v>
      </c>
      <c r="H42" s="7"/>
      <c r="I42" s="7"/>
    </row>
    <row r="43" spans="1:9">
      <c r="A43" s="5">
        <v>46086</v>
      </c>
      <c r="B43" s="6">
        <v>52</v>
      </c>
      <c r="C43" s="6" t="s">
        <v>2</v>
      </c>
      <c r="D43" s="6" t="s">
        <v>15</v>
      </c>
      <c r="E43" s="6">
        <v>-1</v>
      </c>
      <c r="F43" s="6">
        <v>-1</v>
      </c>
      <c r="G43" s="6">
        <v>45</v>
      </c>
      <c r="H43" s="7"/>
      <c r="I43" s="7"/>
    </row>
    <row r="44" spans="1:9">
      <c r="A44" s="5">
        <v>46086</v>
      </c>
      <c r="B44" s="6">
        <v>35</v>
      </c>
      <c r="C44" s="6" t="s">
        <v>3</v>
      </c>
      <c r="D44" s="6" t="s">
        <v>15</v>
      </c>
      <c r="E44" s="6">
        <v>3.2</v>
      </c>
      <c r="F44" s="6">
        <v>6.64</v>
      </c>
      <c r="G44" s="6">
        <v>15</v>
      </c>
      <c r="H44" s="7"/>
      <c r="I44" s="7"/>
    </row>
    <row r="45" spans="1:9">
      <c r="A45" s="5">
        <v>46086</v>
      </c>
      <c r="B45" s="6">
        <v>70</v>
      </c>
      <c r="C45" s="6" t="s">
        <v>2</v>
      </c>
      <c r="D45" s="6" t="s">
        <v>15</v>
      </c>
      <c r="E45" s="6">
        <v>-1</v>
      </c>
      <c r="F45" s="6">
        <v>0</v>
      </c>
      <c r="G45" s="6">
        <v>20</v>
      </c>
      <c r="H45" s="7"/>
      <c r="I45" s="7"/>
    </row>
    <row r="46" spans="1:9">
      <c r="A46" s="5">
        <v>46086</v>
      </c>
      <c r="B46" s="6">
        <v>70</v>
      </c>
      <c r="C46" s="6" t="s">
        <v>2</v>
      </c>
      <c r="D46" s="6" t="s">
        <v>19</v>
      </c>
      <c r="E46" s="6">
        <v>-1</v>
      </c>
      <c r="F46" s="6">
        <v>-1</v>
      </c>
      <c r="G46" s="6">
        <v>20</v>
      </c>
      <c r="H46" s="7"/>
      <c r="I46" s="7"/>
    </row>
    <row r="47" spans="1:9">
      <c r="A47" s="5">
        <v>46086</v>
      </c>
      <c r="B47" s="6">
        <v>35</v>
      </c>
      <c r="C47" s="6" t="s">
        <v>3</v>
      </c>
      <c r="D47" s="6" t="s">
        <v>19</v>
      </c>
      <c r="E47" s="6">
        <v>2.17</v>
      </c>
      <c r="F47" s="6">
        <v>5</v>
      </c>
      <c r="G47" s="6">
        <v>15</v>
      </c>
      <c r="H47" s="7"/>
      <c r="I47" s="7"/>
    </row>
    <row r="48" spans="1:9">
      <c r="A48" s="5">
        <v>46090</v>
      </c>
      <c r="B48" s="6">
        <v>70</v>
      </c>
      <c r="C48" s="6" t="s">
        <v>2</v>
      </c>
      <c r="D48" s="6" t="s">
        <v>15</v>
      </c>
      <c r="E48" s="6">
        <v>0</v>
      </c>
      <c r="F48" s="6">
        <v>2.5</v>
      </c>
      <c r="G48" s="6">
        <v>40</v>
      </c>
    </row>
    <row r="49" spans="1:7">
      <c r="A49" s="5">
        <v>46090</v>
      </c>
      <c r="B49" s="6">
        <v>32</v>
      </c>
      <c r="C49" s="6" t="s">
        <v>3</v>
      </c>
      <c r="D49" s="6" t="s">
        <v>15</v>
      </c>
      <c r="E49" s="6">
        <v>0</v>
      </c>
      <c r="F49" s="6">
        <v>0</v>
      </c>
      <c r="G49" s="6">
        <v>25</v>
      </c>
    </row>
    <row r="50" spans="1:7">
      <c r="A50" s="5">
        <v>46090</v>
      </c>
      <c r="B50" s="6">
        <v>32</v>
      </c>
      <c r="C50" s="6" t="s">
        <v>3</v>
      </c>
      <c r="D50" s="6" t="s">
        <v>19</v>
      </c>
      <c r="E50" s="6">
        <v>0</v>
      </c>
      <c r="F50" s="6">
        <v>0</v>
      </c>
      <c r="G50" s="6">
        <v>25</v>
      </c>
    </row>
    <row r="51" spans="1:7">
      <c r="A51" s="5">
        <v>46091</v>
      </c>
      <c r="B51" s="6">
        <v>47</v>
      </c>
      <c r="C51" s="6" t="s">
        <v>2</v>
      </c>
      <c r="D51" s="6" t="s">
        <v>19</v>
      </c>
      <c r="E51" s="6">
        <v>-1</v>
      </c>
      <c r="F51" s="6">
        <v>-1</v>
      </c>
      <c r="G51" s="6">
        <v>50</v>
      </c>
    </row>
    <row r="52" spans="1:7">
      <c r="A52" s="5">
        <v>46091</v>
      </c>
      <c r="B52" s="6">
        <v>47</v>
      </c>
      <c r="C52" s="6" t="s">
        <v>2</v>
      </c>
      <c r="D52" s="6" t="s">
        <v>15</v>
      </c>
      <c r="E52" s="6">
        <v>-1</v>
      </c>
      <c r="F52" s="6">
        <v>-1</v>
      </c>
      <c r="G52" s="6">
        <v>50</v>
      </c>
    </row>
    <row r="53" spans="1:7">
      <c r="A53" s="5">
        <v>46091</v>
      </c>
      <c r="B53" s="6">
        <v>50</v>
      </c>
      <c r="C53" s="6" t="s">
        <v>2</v>
      </c>
      <c r="D53" s="6" t="s">
        <v>15</v>
      </c>
      <c r="E53" s="8">
        <v>0</v>
      </c>
      <c r="F53" s="8">
        <v>2.69</v>
      </c>
      <c r="G53" s="8">
        <v>30</v>
      </c>
    </row>
    <row r="54" spans="1:7">
      <c r="A54" s="5">
        <v>46091</v>
      </c>
      <c r="B54" s="6">
        <v>30</v>
      </c>
      <c r="C54" s="6" t="s">
        <v>3</v>
      </c>
      <c r="D54" s="6" t="s">
        <v>15</v>
      </c>
      <c r="E54" s="6">
        <v>2.2000000000000002</v>
      </c>
      <c r="F54" s="6">
        <v>2.68</v>
      </c>
      <c r="G54" s="6">
        <v>25</v>
      </c>
    </row>
    <row r="55" spans="1:7">
      <c r="A55" s="5">
        <v>46091</v>
      </c>
      <c r="B55" s="6">
        <v>30</v>
      </c>
      <c r="C55" s="6" t="s">
        <v>3</v>
      </c>
      <c r="D55" s="6" t="s">
        <v>19</v>
      </c>
      <c r="E55" s="6">
        <v>-1</v>
      </c>
      <c r="F55" s="6">
        <v>-1</v>
      </c>
      <c r="G55" s="6">
        <v>25</v>
      </c>
    </row>
    <row r="56" spans="1:7">
      <c r="A56" s="1">
        <v>46092</v>
      </c>
      <c r="B56" s="6">
        <v>70</v>
      </c>
      <c r="C56" s="6" t="s">
        <v>2</v>
      </c>
      <c r="D56" s="6" t="s">
        <v>15</v>
      </c>
      <c r="E56" s="6">
        <v>0</v>
      </c>
      <c r="F56" s="6">
        <v>3</v>
      </c>
      <c r="G56" s="8">
        <v>30</v>
      </c>
    </row>
    <row r="57" spans="1:7">
      <c r="A57" s="1">
        <v>46092</v>
      </c>
      <c r="B57" s="6">
        <v>70</v>
      </c>
      <c r="C57" s="6" t="s">
        <v>2</v>
      </c>
      <c r="D57" s="6" t="s">
        <v>15</v>
      </c>
      <c r="E57" s="6">
        <v>0</v>
      </c>
      <c r="F57" s="6">
        <v>3</v>
      </c>
      <c r="G57" s="8">
        <v>30</v>
      </c>
    </row>
    <row r="58" spans="1:7">
      <c r="A58" s="1">
        <v>46092</v>
      </c>
      <c r="B58" s="6">
        <v>70</v>
      </c>
      <c r="C58" s="6" t="s">
        <v>2</v>
      </c>
      <c r="D58" s="9" t="s">
        <v>5</v>
      </c>
      <c r="E58" s="6">
        <v>-1</v>
      </c>
      <c r="F58" s="6">
        <v>-1</v>
      </c>
      <c r="G58" s="6">
        <v>70</v>
      </c>
    </row>
    <row r="59" spans="1:7">
      <c r="A59" s="5">
        <v>46092</v>
      </c>
      <c r="B59" s="6">
        <v>30</v>
      </c>
      <c r="C59" s="6" t="s">
        <v>3</v>
      </c>
      <c r="D59" s="6" t="s">
        <v>15</v>
      </c>
      <c r="E59" s="6">
        <v>2.2000000000000002</v>
      </c>
      <c r="F59" s="6">
        <v>3.3</v>
      </c>
      <c r="G59" s="6">
        <v>20</v>
      </c>
    </row>
    <row r="60" spans="1:7">
      <c r="A60" s="5">
        <v>46092</v>
      </c>
      <c r="B60" s="6">
        <v>40</v>
      </c>
      <c r="C60" s="6" t="s">
        <v>3</v>
      </c>
      <c r="D60" s="9" t="s">
        <v>5</v>
      </c>
      <c r="E60" s="6">
        <v>3.2</v>
      </c>
      <c r="F60" s="6">
        <v>6.42</v>
      </c>
      <c r="G60" s="6">
        <v>20</v>
      </c>
    </row>
    <row r="61" spans="1:7">
      <c r="A61" s="5">
        <v>46093</v>
      </c>
      <c r="B61" s="6">
        <v>68</v>
      </c>
      <c r="C61" s="6" t="s">
        <v>2</v>
      </c>
      <c r="D61" s="9" t="s">
        <v>4</v>
      </c>
      <c r="E61" s="6">
        <v>0</v>
      </c>
      <c r="F61" s="6">
        <v>3.19</v>
      </c>
      <c r="G61" s="6">
        <v>30</v>
      </c>
    </row>
    <row r="62" spans="1:7">
      <c r="A62" s="5">
        <v>46093</v>
      </c>
      <c r="B62" s="6">
        <v>68</v>
      </c>
      <c r="C62" s="6" t="s">
        <v>2</v>
      </c>
      <c r="D62" s="9" t="s">
        <v>5</v>
      </c>
      <c r="E62" s="6">
        <v>0</v>
      </c>
      <c r="F62" s="6">
        <v>3.79</v>
      </c>
      <c r="G62" s="6">
        <v>30</v>
      </c>
    </row>
    <row r="63" spans="1:7">
      <c r="A63" s="5">
        <v>46093</v>
      </c>
      <c r="B63" s="6">
        <v>32</v>
      </c>
      <c r="C63" s="6" t="s">
        <v>3</v>
      </c>
      <c r="D63" s="9" t="s">
        <v>4</v>
      </c>
      <c r="E63" s="6">
        <v>-1</v>
      </c>
      <c r="F63" s="6">
        <v>0</v>
      </c>
      <c r="G63" s="6">
        <v>15</v>
      </c>
    </row>
    <row r="64" spans="1:7">
      <c r="A64" s="5">
        <v>46093</v>
      </c>
      <c r="B64" s="6">
        <v>32</v>
      </c>
      <c r="C64" s="6" t="s">
        <v>3</v>
      </c>
      <c r="D64" s="9" t="s">
        <v>5</v>
      </c>
      <c r="E64" s="6">
        <v>-1</v>
      </c>
      <c r="F64" s="6">
        <v>-1</v>
      </c>
      <c r="G64" s="6">
        <v>15</v>
      </c>
    </row>
    <row r="65" spans="1:7">
      <c r="A65" s="5">
        <v>46093</v>
      </c>
      <c r="B65" s="6">
        <v>37</v>
      </c>
      <c r="C65" s="6" t="s">
        <v>3</v>
      </c>
      <c r="D65" s="9" t="s">
        <v>4</v>
      </c>
      <c r="E65" s="6">
        <v>2.79</v>
      </c>
      <c r="F65" s="6">
        <v>3.23</v>
      </c>
      <c r="G65" s="6">
        <v>20</v>
      </c>
    </row>
    <row r="66" spans="1:7">
      <c r="A66" s="5">
        <v>46093</v>
      </c>
      <c r="B66" s="6">
        <v>37</v>
      </c>
      <c r="C66" s="6" t="s">
        <v>3</v>
      </c>
      <c r="D66" s="9" t="s">
        <v>5</v>
      </c>
      <c r="E66" s="6">
        <v>2.79</v>
      </c>
      <c r="F66" s="6">
        <v>5.61</v>
      </c>
      <c r="G66" s="6">
        <v>20</v>
      </c>
    </row>
    <row r="67" spans="1:7">
      <c r="A67" s="5">
        <v>46094</v>
      </c>
      <c r="B67" s="6">
        <v>67</v>
      </c>
      <c r="C67" s="6" t="s">
        <v>2</v>
      </c>
      <c r="D67" s="9" t="s">
        <v>4</v>
      </c>
      <c r="E67" s="6">
        <v>2.4300000000000002</v>
      </c>
      <c r="F67" s="6">
        <v>5.69</v>
      </c>
      <c r="G67" s="6">
        <v>30</v>
      </c>
    </row>
    <row r="68" spans="1:7">
      <c r="A68" s="5">
        <v>46094</v>
      </c>
      <c r="B68" s="6">
        <v>67</v>
      </c>
      <c r="C68" s="6" t="s">
        <v>2</v>
      </c>
      <c r="D68" s="9" t="s">
        <v>5</v>
      </c>
      <c r="E68" s="6">
        <v>-1</v>
      </c>
      <c r="F68" s="6">
        <v>-1</v>
      </c>
      <c r="G68" s="6">
        <v>30</v>
      </c>
    </row>
    <row r="69" spans="1:7">
      <c r="A69" s="5">
        <v>46094</v>
      </c>
      <c r="B69" s="6">
        <v>40</v>
      </c>
      <c r="C69" s="6" t="s">
        <v>3</v>
      </c>
      <c r="D69" s="9" t="s">
        <v>4</v>
      </c>
      <c r="E69" s="6">
        <v>2.71</v>
      </c>
      <c r="F69" s="6">
        <v>5.38</v>
      </c>
      <c r="G69" s="6">
        <v>20</v>
      </c>
    </row>
    <row r="70" spans="1:7">
      <c r="A70" s="5">
        <v>46097</v>
      </c>
      <c r="B70" s="6">
        <v>48</v>
      </c>
      <c r="C70" s="6" t="s">
        <v>2</v>
      </c>
      <c r="D70" s="9" t="s">
        <v>4</v>
      </c>
      <c r="E70" s="6">
        <v>4.2</v>
      </c>
      <c r="F70" s="6">
        <v>5.78</v>
      </c>
      <c r="G70" s="6">
        <v>35</v>
      </c>
    </row>
    <row r="71" spans="1:7">
      <c r="A71" s="5">
        <v>46097</v>
      </c>
      <c r="B71" s="6">
        <v>30</v>
      </c>
      <c r="C71" s="6" t="s">
        <v>3</v>
      </c>
      <c r="D71" s="9" t="s">
        <v>4</v>
      </c>
      <c r="E71" s="6">
        <v>0</v>
      </c>
      <c r="F71" s="6">
        <v>2.04</v>
      </c>
      <c r="G71" s="6">
        <v>15</v>
      </c>
    </row>
    <row r="73" spans="1:7">
      <c r="A73" s="5">
        <v>46043</v>
      </c>
      <c r="B73" s="6">
        <v>59.2</v>
      </c>
      <c r="C73" s="6" t="s">
        <v>28</v>
      </c>
      <c r="D73" s="9" t="s">
        <v>29</v>
      </c>
      <c r="E73" s="6"/>
      <c r="F73" s="6">
        <v>0</v>
      </c>
      <c r="G73" s="6">
        <v>20</v>
      </c>
    </row>
    <row r="74" spans="1:7">
      <c r="A74" s="5">
        <v>46041</v>
      </c>
      <c r="B74" s="6">
        <v>25.67</v>
      </c>
      <c r="C74" s="6" t="s">
        <v>28</v>
      </c>
      <c r="D74" s="9" t="s">
        <v>29</v>
      </c>
      <c r="E74" s="6"/>
      <c r="F74" s="6">
        <v>0</v>
      </c>
      <c r="G74" s="6">
        <v>20</v>
      </c>
    </row>
    <row r="75" spans="1:7">
      <c r="A75" s="5">
        <v>46041</v>
      </c>
      <c r="B75" s="6">
        <v>17.07</v>
      </c>
      <c r="C75" s="6" t="s">
        <v>30</v>
      </c>
      <c r="D75" s="9" t="s">
        <v>29</v>
      </c>
      <c r="E75" s="6"/>
      <c r="F75" s="6">
        <v>-1</v>
      </c>
      <c r="G75" s="6">
        <v>10</v>
      </c>
    </row>
    <row r="76" spans="1:7">
      <c r="A76" s="5">
        <v>46042</v>
      </c>
      <c r="B76" s="6">
        <v>41.11</v>
      </c>
      <c r="C76" s="6" t="s">
        <v>2</v>
      </c>
      <c r="D76" s="9" t="s">
        <v>4</v>
      </c>
      <c r="E76" s="6"/>
      <c r="F76" s="6">
        <v>5</v>
      </c>
      <c r="G76" s="6">
        <v>15</v>
      </c>
    </row>
    <row r="77" spans="1:7">
      <c r="A77" s="5">
        <v>46042</v>
      </c>
      <c r="B77" s="6">
        <v>31</v>
      </c>
      <c r="C77" s="6" t="s">
        <v>3</v>
      </c>
      <c r="D77" s="9" t="s">
        <v>4</v>
      </c>
      <c r="E77" s="6"/>
      <c r="F77" s="6">
        <v>3</v>
      </c>
      <c r="G77" s="6">
        <v>10</v>
      </c>
    </row>
    <row r="78" spans="1:7">
      <c r="A78" s="5">
        <v>46044</v>
      </c>
      <c r="B78" s="6">
        <v>20</v>
      </c>
      <c r="C78" s="6" t="s">
        <v>2</v>
      </c>
      <c r="D78" s="9" t="s">
        <v>4</v>
      </c>
      <c r="E78" s="6"/>
      <c r="F78" s="6">
        <v>5</v>
      </c>
      <c r="G78" s="6">
        <v>10</v>
      </c>
    </row>
    <row r="79" spans="1:7">
      <c r="A79" s="5">
        <v>46044</v>
      </c>
      <c r="B79" s="6">
        <v>21</v>
      </c>
      <c r="C79" s="6" t="s">
        <v>3</v>
      </c>
      <c r="D79" s="9" t="s">
        <v>4</v>
      </c>
      <c r="E79" s="6"/>
      <c r="F79" s="6">
        <v>3.51</v>
      </c>
      <c r="G79" s="6">
        <v>5</v>
      </c>
    </row>
    <row r="80" spans="1:7">
      <c r="A80" s="5"/>
      <c r="B80" s="6"/>
      <c r="C80" s="6"/>
      <c r="D80" s="9"/>
      <c r="E80" s="6"/>
      <c r="F80" s="6"/>
      <c r="G80" s="6"/>
    </row>
    <row r="81" spans="1:7">
      <c r="A81" s="5">
        <v>46048</v>
      </c>
      <c r="B81" s="6">
        <v>30</v>
      </c>
      <c r="C81" s="6" t="s">
        <v>2</v>
      </c>
      <c r="D81" s="9" t="s">
        <v>4</v>
      </c>
      <c r="E81" s="6"/>
      <c r="F81" s="6">
        <v>5</v>
      </c>
      <c r="G81" s="6">
        <v>15</v>
      </c>
    </row>
    <row r="82" spans="1:7">
      <c r="A82" s="5">
        <v>46049</v>
      </c>
      <c r="B82" s="6">
        <v>36</v>
      </c>
      <c r="C82" s="6" t="s">
        <v>2</v>
      </c>
      <c r="D82" s="9" t="s">
        <v>4</v>
      </c>
      <c r="E82" s="6"/>
      <c r="F82" s="6">
        <v>5</v>
      </c>
      <c r="G82" s="6">
        <v>15</v>
      </c>
    </row>
    <row r="83" spans="1:7">
      <c r="A83" s="5">
        <v>46049</v>
      </c>
      <c r="B83" s="6">
        <v>13.37</v>
      </c>
      <c r="C83" s="6" t="s">
        <v>3</v>
      </c>
      <c r="D83" s="9" t="s">
        <v>4</v>
      </c>
      <c r="E83" s="6"/>
      <c r="F83" s="6">
        <v>2</v>
      </c>
      <c r="G83" s="6">
        <v>6</v>
      </c>
    </row>
    <row r="84" spans="1:7">
      <c r="A84" s="5">
        <v>46050</v>
      </c>
      <c r="B84" s="6">
        <v>28</v>
      </c>
      <c r="C84" s="6" t="s">
        <v>2</v>
      </c>
      <c r="D84" s="9" t="s">
        <v>4</v>
      </c>
      <c r="E84" s="6"/>
      <c r="F84" s="6">
        <v>3.81</v>
      </c>
      <c r="G84" s="6">
        <v>13</v>
      </c>
    </row>
    <row r="85" spans="1:7">
      <c r="A85" s="5">
        <v>46051</v>
      </c>
      <c r="B85" s="6">
        <v>48</v>
      </c>
      <c r="C85" s="6" t="s">
        <v>2</v>
      </c>
      <c r="D85" s="9" t="s">
        <v>4</v>
      </c>
      <c r="E85" s="6"/>
      <c r="F85" s="6">
        <v>5</v>
      </c>
      <c r="G85" s="6">
        <v>15</v>
      </c>
    </row>
    <row r="86" spans="1:7">
      <c r="A86" s="5">
        <v>46049</v>
      </c>
      <c r="B86" s="6">
        <v>28</v>
      </c>
      <c r="C86" s="6" t="s">
        <v>3</v>
      </c>
      <c r="D86" s="9" t="s">
        <v>4</v>
      </c>
      <c r="E86" s="6"/>
      <c r="F86" s="6">
        <v>5</v>
      </c>
      <c r="G86" s="6">
        <v>15</v>
      </c>
    </row>
    <row r="88" spans="1:7">
      <c r="A88" s="5">
        <v>46118</v>
      </c>
      <c r="B88" s="6">
        <v>41</v>
      </c>
      <c r="C88" s="6" t="s">
        <v>2</v>
      </c>
      <c r="D88" s="9" t="s">
        <v>4</v>
      </c>
      <c r="E88" s="6"/>
      <c r="F88" s="6">
        <v>2.78</v>
      </c>
      <c r="G88" s="6">
        <v>11</v>
      </c>
    </row>
    <row r="89" spans="1:7">
      <c r="A89" s="5">
        <v>46118</v>
      </c>
      <c r="B89" s="6">
        <v>25</v>
      </c>
      <c r="C89" s="6" t="s">
        <v>3</v>
      </c>
      <c r="D89" s="9" t="s">
        <v>4</v>
      </c>
      <c r="E89" s="6"/>
      <c r="F89" s="6">
        <v>0</v>
      </c>
      <c r="G89" s="6">
        <v>12</v>
      </c>
    </row>
    <row r="90" spans="1:7">
      <c r="A90" s="5">
        <v>46119</v>
      </c>
      <c r="B90" s="6">
        <v>60</v>
      </c>
      <c r="C90" s="6" t="s">
        <v>2</v>
      </c>
      <c r="D90" s="9" t="s">
        <v>4</v>
      </c>
      <c r="E90" s="6"/>
      <c r="F90" s="6">
        <v>3.68</v>
      </c>
      <c r="G90" s="6">
        <v>21</v>
      </c>
    </row>
    <row r="91" spans="1:7">
      <c r="A91" s="5">
        <v>46119</v>
      </c>
      <c r="B91" s="6">
        <v>38</v>
      </c>
      <c r="C91" s="6" t="s">
        <v>3</v>
      </c>
      <c r="D91" s="9" t="s">
        <v>4</v>
      </c>
      <c r="E91" s="6"/>
      <c r="F91" s="6">
        <v>3.41</v>
      </c>
      <c r="G91" s="6">
        <v>10</v>
      </c>
    </row>
    <row r="92" spans="1:7">
      <c r="A92" s="5">
        <v>46120</v>
      </c>
      <c r="B92" s="6">
        <v>48</v>
      </c>
      <c r="C92" s="6" t="s">
        <v>2</v>
      </c>
      <c r="D92" s="9" t="s">
        <v>4</v>
      </c>
      <c r="E92" s="6"/>
      <c r="F92" s="6">
        <v>4.3</v>
      </c>
      <c r="G92" s="6">
        <v>15</v>
      </c>
    </row>
    <row r="93" spans="1:7">
      <c r="A93" s="5">
        <v>46120</v>
      </c>
      <c r="B93" s="6">
        <v>30</v>
      </c>
      <c r="C93" s="6" t="s">
        <v>3</v>
      </c>
      <c r="D93" s="9" t="s">
        <v>4</v>
      </c>
      <c r="E93" s="6"/>
      <c r="F93" s="6">
        <v>2</v>
      </c>
      <c r="G93" s="6">
        <v>10</v>
      </c>
    </row>
    <row r="95" spans="1:7">
      <c r="A95" s="5">
        <v>46126</v>
      </c>
      <c r="B95" s="6">
        <v>42</v>
      </c>
      <c r="C95" s="6" t="s">
        <v>2</v>
      </c>
      <c r="D95" s="9" t="s">
        <v>4</v>
      </c>
      <c r="E95" s="6"/>
      <c r="F95" s="6">
        <v>5</v>
      </c>
      <c r="G95" s="6">
        <v>20</v>
      </c>
    </row>
    <row r="96" spans="1:7">
      <c r="A96" s="5">
        <v>46125</v>
      </c>
      <c r="B96" s="6">
        <v>31</v>
      </c>
      <c r="C96" s="6" t="s">
        <v>31</v>
      </c>
      <c r="D96" s="9" t="s">
        <v>4</v>
      </c>
      <c r="E96" s="6"/>
      <c r="F96" s="6">
        <v>2</v>
      </c>
      <c r="G96" s="6">
        <v>20</v>
      </c>
    </row>
    <row r="97" spans="1:7">
      <c r="A97" s="5">
        <v>46127</v>
      </c>
      <c r="B97" s="6">
        <v>50</v>
      </c>
      <c r="C97" s="6" t="s">
        <v>32</v>
      </c>
      <c r="D97" s="9" t="s">
        <v>4</v>
      </c>
      <c r="E97" s="6"/>
      <c r="F97" s="6">
        <v>5</v>
      </c>
      <c r="G97" s="6">
        <v>20</v>
      </c>
    </row>
    <row r="98" spans="1:7">
      <c r="A98" s="5">
        <v>46128</v>
      </c>
      <c r="B98" s="6">
        <v>25</v>
      </c>
      <c r="C98" s="6" t="s">
        <v>32</v>
      </c>
      <c r="D98" s="9" t="s">
        <v>4</v>
      </c>
      <c r="E98" s="6"/>
      <c r="F98" s="6">
        <v>3</v>
      </c>
      <c r="G98" s="6">
        <v>10</v>
      </c>
    </row>
    <row r="99" spans="1:7">
      <c r="A99" s="5"/>
      <c r="B99" s="6"/>
      <c r="C99" s="6"/>
      <c r="D99" s="9"/>
      <c r="E99" s="6"/>
      <c r="F99" s="6"/>
      <c r="G99" s="6"/>
    </row>
    <row r="100" spans="1:7">
      <c r="A100" s="5"/>
      <c r="B100" s="6"/>
      <c r="C100" s="6"/>
      <c r="D100" s="9"/>
      <c r="E100" s="6"/>
      <c r="F100" s="6"/>
      <c r="G100" s="6"/>
    </row>
    <row r="103" spans="1:7">
      <c r="A103" s="5">
        <v>46133</v>
      </c>
      <c r="B103" s="6">
        <v>22</v>
      </c>
      <c r="C103" s="6" t="s">
        <v>33</v>
      </c>
      <c r="D103" s="9" t="s">
        <v>34</v>
      </c>
      <c r="E103" s="6"/>
      <c r="F103" s="6">
        <v>5</v>
      </c>
      <c r="G103" s="6">
        <v>10</v>
      </c>
    </row>
    <row r="107" spans="1:7">
      <c r="A107" s="5">
        <v>46143</v>
      </c>
      <c r="B107" s="6"/>
      <c r="C107" s="6" t="s">
        <v>2</v>
      </c>
      <c r="D107" s="9" t="s">
        <v>4</v>
      </c>
      <c r="E107" s="6"/>
      <c r="F107" s="6">
        <v>4</v>
      </c>
      <c r="G107" s="6">
        <v>15</v>
      </c>
    </row>
    <row r="108" spans="1:7">
      <c r="A108" s="5">
        <v>46142</v>
      </c>
      <c r="B108" s="6"/>
      <c r="C108" s="6" t="s">
        <v>35</v>
      </c>
      <c r="D108" s="9" t="s">
        <v>4</v>
      </c>
      <c r="E108" s="6"/>
      <c r="F108" s="6">
        <v>5</v>
      </c>
      <c r="G108" s="6">
        <v>10</v>
      </c>
    </row>
    <row r="109" spans="1:7">
      <c r="A109" s="5">
        <v>46141</v>
      </c>
      <c r="B109" s="6"/>
      <c r="C109" s="6" t="s">
        <v>2</v>
      </c>
      <c r="D109" s="9" t="s">
        <v>4</v>
      </c>
      <c r="E109" s="6"/>
      <c r="F109" s="6">
        <v>4</v>
      </c>
      <c r="G109" s="6">
        <v>15</v>
      </c>
    </row>
    <row r="110" spans="1:7">
      <c r="A110" s="5">
        <v>46140</v>
      </c>
      <c r="B110" s="6"/>
      <c r="C110" s="6" t="s">
        <v>35</v>
      </c>
      <c r="D110" s="9" t="s">
        <v>4</v>
      </c>
      <c r="E110" s="6"/>
      <c r="F110" s="6">
        <v>4</v>
      </c>
      <c r="G110" s="6">
        <v>10</v>
      </c>
    </row>
    <row r="111" spans="1:7">
      <c r="A111" s="5">
        <v>46139</v>
      </c>
      <c r="B111" s="6"/>
      <c r="C111" s="6" t="s">
        <v>2</v>
      </c>
      <c r="D111" s="9" t="s">
        <v>4</v>
      </c>
      <c r="E111" s="6"/>
      <c r="F111" s="6">
        <v>5</v>
      </c>
      <c r="G111" s="6">
        <v>15</v>
      </c>
    </row>
    <row r="114" spans="1:7">
      <c r="A114" s="5">
        <v>46147</v>
      </c>
      <c r="B114" s="6"/>
      <c r="C114" s="6" t="s">
        <v>2</v>
      </c>
      <c r="D114" s="9" t="s">
        <v>4</v>
      </c>
      <c r="E114" s="6"/>
      <c r="F114" s="6">
        <v>5</v>
      </c>
      <c r="G114" s="6">
        <v>15</v>
      </c>
    </row>
    <row r="115" spans="1:7">
      <c r="A115" s="5">
        <v>46147</v>
      </c>
      <c r="B115" s="6"/>
      <c r="C115" s="6" t="s">
        <v>36</v>
      </c>
      <c r="D115" s="9" t="s">
        <v>37</v>
      </c>
      <c r="E115" s="6"/>
      <c r="F115" s="6">
        <v>2</v>
      </c>
      <c r="G115" s="6">
        <v>10</v>
      </c>
    </row>
    <row r="116" spans="1:7">
      <c r="A116" s="5">
        <v>46148</v>
      </c>
      <c r="B116" s="6"/>
      <c r="C116" s="6" t="s">
        <v>2</v>
      </c>
      <c r="D116" s="9" t="s">
        <v>4</v>
      </c>
      <c r="E116" s="6"/>
      <c r="F116" s="6">
        <v>3</v>
      </c>
      <c r="G116" s="6">
        <v>15</v>
      </c>
    </row>
    <row r="117" spans="1:7">
      <c r="A117" s="5">
        <v>46149</v>
      </c>
      <c r="B117" s="6"/>
      <c r="C117" s="6" t="s">
        <v>2</v>
      </c>
      <c r="D117" s="9" t="s">
        <v>4</v>
      </c>
      <c r="E117" s="6"/>
      <c r="F117" s="6">
        <v>5</v>
      </c>
      <c r="G117" s="6">
        <v>15</v>
      </c>
    </row>
    <row r="120" spans="1:7">
      <c r="A120" s="5">
        <v>46154</v>
      </c>
      <c r="B120" s="6"/>
      <c r="C120" s="6" t="s">
        <v>2</v>
      </c>
      <c r="D120" s="9" t="s">
        <v>4</v>
      </c>
      <c r="E120" s="6"/>
      <c r="F120" s="6">
        <v>5</v>
      </c>
      <c r="G120" s="6">
        <v>15</v>
      </c>
    </row>
    <row r="121" spans="1:7">
      <c r="A121" s="5">
        <v>46154</v>
      </c>
      <c r="B121" s="6"/>
      <c r="C121" s="6" t="s">
        <v>3</v>
      </c>
      <c r="D121" s="9" t="s">
        <v>4</v>
      </c>
      <c r="E121" s="6"/>
      <c r="F121" s="6">
        <v>3</v>
      </c>
      <c r="G121" s="6">
        <v>10</v>
      </c>
    </row>
    <row r="122" spans="1:7">
      <c r="A122" s="5">
        <v>46155</v>
      </c>
      <c r="B122" s="6"/>
      <c r="C122" s="6" t="s">
        <v>3</v>
      </c>
      <c r="D122" s="9" t="s">
        <v>4</v>
      </c>
      <c r="E122" s="6"/>
      <c r="F122" s="6">
        <v>2</v>
      </c>
      <c r="G122" s="6">
        <v>10</v>
      </c>
    </row>
    <row r="123" spans="1:7">
      <c r="A123" s="5">
        <v>46156</v>
      </c>
      <c r="B123" s="6"/>
      <c r="C123" s="6" t="s">
        <v>2</v>
      </c>
      <c r="D123" s="9" t="s">
        <v>4</v>
      </c>
      <c r="E123" s="6"/>
      <c r="F123" s="6">
        <v>5</v>
      </c>
      <c r="G123" s="6">
        <v>15</v>
      </c>
    </row>
    <row r="124" spans="1:7">
      <c r="A124" s="5">
        <v>46156</v>
      </c>
      <c r="B124" s="6"/>
      <c r="C124" s="6" t="s">
        <v>38</v>
      </c>
      <c r="D124" s="9" t="s">
        <v>4</v>
      </c>
      <c r="E124" s="6"/>
      <c r="F124" s="6">
        <v>5</v>
      </c>
      <c r="G124" s="6">
        <v>10</v>
      </c>
    </row>
    <row r="128" spans="1:7">
      <c r="A128" s="5">
        <v>46160</v>
      </c>
      <c r="B128" s="6"/>
      <c r="C128" s="6" t="s">
        <v>2</v>
      </c>
      <c r="D128" s="9" t="s">
        <v>4</v>
      </c>
      <c r="E128" s="6"/>
      <c r="F128" s="6">
        <v>4</v>
      </c>
      <c r="G128" s="6">
        <v>30</v>
      </c>
    </row>
    <row r="129" spans="1:7">
      <c r="A129" s="5">
        <v>46161</v>
      </c>
      <c r="B129" s="6"/>
      <c r="C129" s="6" t="s">
        <v>2</v>
      </c>
      <c r="D129" s="9" t="s">
        <v>4</v>
      </c>
      <c r="E129" s="6"/>
      <c r="F129" s="6">
        <v>2</v>
      </c>
      <c r="G129" s="6">
        <v>30</v>
      </c>
    </row>
    <row r="130" spans="1:7">
      <c r="A130" s="5">
        <v>46161</v>
      </c>
      <c r="B130" s="6"/>
      <c r="C130" s="6" t="s">
        <v>3</v>
      </c>
      <c r="D130" s="9" t="s">
        <v>4</v>
      </c>
      <c r="E130" s="6"/>
      <c r="F130" s="6">
        <v>1</v>
      </c>
      <c r="G130" s="6">
        <v>25</v>
      </c>
    </row>
    <row r="131" spans="1:7">
      <c r="A131" s="5">
        <v>46162</v>
      </c>
      <c r="B131" s="6"/>
      <c r="C131" s="6" t="s">
        <v>2</v>
      </c>
      <c r="D131" s="9" t="s">
        <v>4</v>
      </c>
      <c r="E131" s="6"/>
      <c r="F131" s="6">
        <v>5</v>
      </c>
      <c r="G131" s="6">
        <v>30</v>
      </c>
    </row>
    <row r="132" spans="1:7">
      <c r="A132" s="5">
        <v>46163</v>
      </c>
      <c r="B132" s="6"/>
      <c r="C132" s="6" t="s">
        <v>2</v>
      </c>
      <c r="D132" s="9" t="s">
        <v>4</v>
      </c>
      <c r="E132" s="6"/>
      <c r="F132" s="6">
        <v>3</v>
      </c>
      <c r="G132" s="6">
        <v>30</v>
      </c>
    </row>
    <row r="135" spans="1:7">
      <c r="A135" s="5">
        <v>46167</v>
      </c>
      <c r="B135" s="6"/>
      <c r="C135" s="6" t="s">
        <v>2</v>
      </c>
      <c r="D135" s="9" t="s">
        <v>4</v>
      </c>
      <c r="E135" s="6"/>
      <c r="F135" s="6">
        <v>-1</v>
      </c>
      <c r="G135" s="6">
        <v>30</v>
      </c>
    </row>
    <row r="136" spans="1:7">
      <c r="A136" s="5">
        <v>46168</v>
      </c>
      <c r="B136" s="6"/>
      <c r="C136" s="6" t="s">
        <v>3</v>
      </c>
      <c r="D136" s="9" t="s">
        <v>4</v>
      </c>
      <c r="E136" s="6"/>
      <c r="F136" s="6">
        <v>1</v>
      </c>
      <c r="G136" s="6">
        <v>25</v>
      </c>
    </row>
    <row r="137" spans="1:7">
      <c r="A137" s="5">
        <v>46169</v>
      </c>
      <c r="B137" s="6"/>
      <c r="C137" s="6" t="s">
        <v>3</v>
      </c>
      <c r="D137" s="9" t="s">
        <v>4</v>
      </c>
      <c r="E137" s="6"/>
      <c r="F137" s="6">
        <v>5</v>
      </c>
      <c r="G137" s="6">
        <v>25</v>
      </c>
    </row>
    <row r="138" spans="1:7">
      <c r="A138" s="5">
        <v>46170</v>
      </c>
      <c r="B138" s="6"/>
      <c r="C138" s="6" t="s">
        <v>2</v>
      </c>
      <c r="D138" s="9" t="s">
        <v>4</v>
      </c>
      <c r="E138" s="6"/>
      <c r="F138" s="6">
        <v>3</v>
      </c>
      <c r="G138" s="6">
        <v>30</v>
      </c>
    </row>
    <row r="139" spans="1:7">
      <c r="A139" s="5"/>
      <c r="B139" s="6"/>
      <c r="C139" s="6"/>
      <c r="D139" s="9"/>
      <c r="E139" s="6"/>
      <c r="F139" s="6"/>
      <c r="G139" s="6"/>
    </row>
    <row r="142" spans="1:7">
      <c r="A142" s="5">
        <v>46174</v>
      </c>
      <c r="B142" s="6"/>
      <c r="C142" s="6" t="s">
        <v>2</v>
      </c>
      <c r="D142" s="9" t="s">
        <v>4</v>
      </c>
      <c r="E142" s="6"/>
      <c r="F142" s="6">
        <v>1</v>
      </c>
      <c r="G142" s="6">
        <v>30</v>
      </c>
    </row>
    <row r="143" spans="1:7">
      <c r="A143" s="5">
        <v>46175</v>
      </c>
      <c r="B143" s="6"/>
      <c r="C143" s="6" t="s">
        <v>2</v>
      </c>
      <c r="D143" s="9" t="s">
        <v>4</v>
      </c>
      <c r="E143" s="6"/>
      <c r="F143" s="6">
        <v>5</v>
      </c>
      <c r="G143" s="6">
        <v>30</v>
      </c>
    </row>
    <row r="144" spans="1:7">
      <c r="A144" s="5">
        <v>46176</v>
      </c>
      <c r="B144" s="6"/>
      <c r="C144" s="6" t="s">
        <v>2</v>
      </c>
      <c r="D144" s="9" t="s">
        <v>4</v>
      </c>
      <c r="E144" s="6"/>
      <c r="F144" s="6">
        <v>1</v>
      </c>
      <c r="G144" s="6">
        <v>30</v>
      </c>
    </row>
    <row r="145" spans="1:7">
      <c r="A145" s="5">
        <v>46176</v>
      </c>
      <c r="B145" s="6"/>
      <c r="C145" s="6" t="s">
        <v>3</v>
      </c>
      <c r="D145" s="9" t="s">
        <v>4</v>
      </c>
      <c r="E145" s="6"/>
      <c r="F145" s="6">
        <v>5</v>
      </c>
      <c r="G145" s="6">
        <v>25</v>
      </c>
    </row>
    <row r="146" spans="1:7">
      <c r="A146" s="5">
        <v>46176</v>
      </c>
      <c r="B146" s="6"/>
      <c r="C146" s="6" t="s">
        <v>2</v>
      </c>
      <c r="D146" s="9" t="s">
        <v>4</v>
      </c>
      <c r="E146" s="6"/>
      <c r="F146" s="6">
        <v>-1</v>
      </c>
      <c r="G146" s="6">
        <v>30</v>
      </c>
    </row>
    <row r="150" spans="1:7">
      <c r="A150" s="5">
        <v>46181</v>
      </c>
      <c r="B150" s="6"/>
      <c r="C150" s="6" t="s">
        <v>2</v>
      </c>
      <c r="D150" s="9" t="s">
        <v>4</v>
      </c>
      <c r="E150" s="6"/>
      <c r="F150" s="6">
        <v>5</v>
      </c>
      <c r="G150" s="6">
        <v>30</v>
      </c>
    </row>
    <row r="151" spans="1:7">
      <c r="A151" s="5">
        <v>46181</v>
      </c>
      <c r="B151" s="6"/>
      <c r="C151" s="6" t="s">
        <v>3</v>
      </c>
      <c r="D151" s="9" t="s">
        <v>4</v>
      </c>
      <c r="E151" s="6"/>
      <c r="F151" s="6">
        <v>2</v>
      </c>
      <c r="G151" s="6">
        <v>25</v>
      </c>
    </row>
    <row r="152" spans="1:7">
      <c r="A152" s="5">
        <v>46182</v>
      </c>
      <c r="B152" s="6"/>
      <c r="C152" s="6" t="s">
        <v>2</v>
      </c>
      <c r="D152" s="9" t="s">
        <v>4</v>
      </c>
      <c r="E152" s="6"/>
      <c r="F152" s="6">
        <v>-1</v>
      </c>
      <c r="G152" s="6">
        <v>30</v>
      </c>
    </row>
    <row r="153" spans="1:7">
      <c r="A153" s="5">
        <v>46182</v>
      </c>
      <c r="B153" s="6"/>
      <c r="C153" s="6" t="s">
        <v>3</v>
      </c>
      <c r="D153" s="9" t="s">
        <v>4</v>
      </c>
      <c r="E153" s="6"/>
      <c r="F153" s="6">
        <v>3</v>
      </c>
      <c r="G153" s="6">
        <v>25</v>
      </c>
    </row>
    <row r="154" spans="1:7">
      <c r="A154" s="5">
        <v>46183</v>
      </c>
      <c r="B154" s="6"/>
      <c r="C154" s="6" t="s">
        <v>2</v>
      </c>
      <c r="D154" s="9" t="s">
        <v>4</v>
      </c>
      <c r="E154" s="6"/>
      <c r="F154" s="6">
        <v>-1</v>
      </c>
      <c r="G154" s="6">
        <v>30</v>
      </c>
    </row>
    <row r="155" spans="1:7">
      <c r="A155" s="5">
        <v>46184</v>
      </c>
      <c r="B155" s="6"/>
      <c r="C155" s="6" t="s">
        <v>3</v>
      </c>
      <c r="D155" s="9" t="s">
        <v>4</v>
      </c>
      <c r="E155" s="6"/>
      <c r="F155" s="6">
        <v>2</v>
      </c>
      <c r="G155" s="6">
        <v>25</v>
      </c>
    </row>
    <row r="159" spans="1:7">
      <c r="A159" s="5">
        <v>46188</v>
      </c>
      <c r="B159" s="6"/>
      <c r="C159" s="6" t="s">
        <v>2</v>
      </c>
      <c r="D159" s="9" t="s">
        <v>4</v>
      </c>
      <c r="E159" s="6"/>
      <c r="F159" s="6">
        <v>-1</v>
      </c>
      <c r="G159" s="6">
        <v>30</v>
      </c>
    </row>
    <row r="160" spans="1:7">
      <c r="A160" s="5">
        <v>46188</v>
      </c>
      <c r="B160" s="6"/>
      <c r="C160" s="6" t="s">
        <v>3</v>
      </c>
      <c r="D160" s="9" t="s">
        <v>4</v>
      </c>
      <c r="E160" s="6"/>
      <c r="F160" s="6">
        <v>1</v>
      </c>
      <c r="G160" s="6">
        <v>25</v>
      </c>
    </row>
    <row r="161" spans="1:7">
      <c r="A161" s="5">
        <v>46189</v>
      </c>
      <c r="B161" s="6"/>
      <c r="C161" s="6" t="s">
        <v>2</v>
      </c>
      <c r="D161" s="9" t="s">
        <v>4</v>
      </c>
      <c r="E161" s="6"/>
      <c r="F161" s="6">
        <v>4</v>
      </c>
      <c r="G161" s="6">
        <v>30</v>
      </c>
    </row>
    <row r="162" spans="1:7">
      <c r="A162" s="5">
        <v>46189</v>
      </c>
      <c r="B162" s="6"/>
      <c r="C162" s="6" t="s">
        <v>3</v>
      </c>
      <c r="D162" s="9" t="s">
        <v>4</v>
      </c>
      <c r="E162" s="6"/>
      <c r="F162" s="6">
        <v>1</v>
      </c>
      <c r="G162" s="6">
        <v>25</v>
      </c>
    </row>
    <row r="163" spans="1:7">
      <c r="A163" s="5">
        <v>46191</v>
      </c>
      <c r="B163" s="6"/>
      <c r="C163" s="6" t="s">
        <v>3</v>
      </c>
      <c r="D163" s="9" t="s">
        <v>4</v>
      </c>
      <c r="E163" s="6"/>
      <c r="F163" s="6">
        <v>1</v>
      </c>
      <c r="G163" s="6">
        <v>25</v>
      </c>
    </row>
    <row r="164" spans="1:7">
      <c r="A164" s="5">
        <v>46190</v>
      </c>
      <c r="B164" s="6"/>
      <c r="C164" s="6" t="s">
        <v>2</v>
      </c>
      <c r="D164" s="9" t="s">
        <v>4</v>
      </c>
      <c r="E164" s="6"/>
      <c r="F164" s="6">
        <v>5</v>
      </c>
      <c r="G164" s="6">
        <v>30</v>
      </c>
    </row>
    <row r="169" spans="1:7">
      <c r="A169" s="5">
        <v>46195</v>
      </c>
      <c r="B169" s="6"/>
      <c r="C169" s="6" t="s">
        <v>2</v>
      </c>
      <c r="D169" s="9" t="s">
        <v>4</v>
      </c>
      <c r="E169" s="6"/>
      <c r="F169" s="6">
        <v>4</v>
      </c>
      <c r="G169" s="6">
        <v>30</v>
      </c>
    </row>
    <row r="170" spans="1:7">
      <c r="A170" s="5">
        <v>46195</v>
      </c>
      <c r="B170" s="6"/>
      <c r="C170" s="6" t="s">
        <v>3</v>
      </c>
      <c r="D170" s="9" t="s">
        <v>4</v>
      </c>
      <c r="E170" s="6"/>
      <c r="F170" s="6">
        <v>1</v>
      </c>
      <c r="G170" s="6">
        <v>25</v>
      </c>
    </row>
    <row r="171" spans="1:7">
      <c r="A171" s="5">
        <v>46196</v>
      </c>
      <c r="B171" s="6"/>
      <c r="C171" s="6" t="s">
        <v>2</v>
      </c>
      <c r="D171" s="9" t="s">
        <v>4</v>
      </c>
      <c r="E171" s="6"/>
      <c r="F171" s="6">
        <v>3</v>
      </c>
      <c r="G171" s="6">
        <v>30</v>
      </c>
    </row>
    <row r="172" spans="1:7">
      <c r="A172" s="5">
        <v>46196</v>
      </c>
      <c r="B172" s="6"/>
      <c r="C172" s="6" t="s">
        <v>3</v>
      </c>
      <c r="D172" s="9" t="s">
        <v>4</v>
      </c>
      <c r="E172" s="6"/>
      <c r="F172" s="6">
        <v>2</v>
      </c>
      <c r="G172" s="6">
        <v>25</v>
      </c>
    </row>
    <row r="173" spans="1:7">
      <c r="A173" s="5">
        <v>46198</v>
      </c>
      <c r="B173" s="6"/>
      <c r="C173" s="6" t="s">
        <v>3</v>
      </c>
      <c r="D173" s="9" t="s">
        <v>4</v>
      </c>
      <c r="E173" s="6"/>
      <c r="F173" s="6">
        <v>5</v>
      </c>
      <c r="G173" s="6">
        <v>25</v>
      </c>
    </row>
    <row r="174" spans="1:7">
      <c r="A174" s="5"/>
      <c r="B174" s="6"/>
      <c r="C174" s="6"/>
      <c r="D174" s="9"/>
      <c r="E174" s="6"/>
      <c r="F174" s="6"/>
      <c r="G174" s="6"/>
    </row>
    <row r="178" spans="1:7">
      <c r="A178" s="5">
        <v>46202</v>
      </c>
      <c r="B178" s="6"/>
      <c r="C178" s="6" t="s">
        <v>3</v>
      </c>
      <c r="D178" s="9" t="s">
        <v>4</v>
      </c>
      <c r="E178" s="6"/>
      <c r="F178" s="6">
        <v>1</v>
      </c>
      <c r="G178" s="6">
        <v>25</v>
      </c>
    </row>
    <row r="179" spans="1:7">
      <c r="A179" s="5">
        <v>46202</v>
      </c>
      <c r="B179" s="6"/>
      <c r="C179" s="6" t="s">
        <v>2</v>
      </c>
      <c r="D179" s="9" t="s">
        <v>4</v>
      </c>
      <c r="E179" s="6"/>
      <c r="F179" s="6">
        <v>-1</v>
      </c>
      <c r="G179" s="6">
        <v>30</v>
      </c>
    </row>
    <row r="180" spans="1:7">
      <c r="A180" s="5">
        <v>46203</v>
      </c>
      <c r="B180" s="6"/>
      <c r="C180" s="6" t="s">
        <v>2</v>
      </c>
      <c r="D180" s="9" t="s">
        <v>4</v>
      </c>
      <c r="E180" s="6"/>
      <c r="F180" s="6">
        <v>2</v>
      </c>
      <c r="G180" s="6">
        <v>30</v>
      </c>
    </row>
    <row r="181" spans="1:7">
      <c r="A181" s="5">
        <v>46203</v>
      </c>
      <c r="B181" s="6"/>
      <c r="C181" s="6" t="s">
        <v>3</v>
      </c>
      <c r="D181" s="9" t="s">
        <v>4</v>
      </c>
      <c r="E181" s="6"/>
      <c r="F181" s="6">
        <v>3</v>
      </c>
      <c r="G181" s="6">
        <v>25</v>
      </c>
    </row>
    <row r="182" spans="1:7">
      <c r="A182" s="5">
        <v>46204</v>
      </c>
      <c r="B182" s="6"/>
      <c r="C182" s="6" t="s">
        <v>3</v>
      </c>
      <c r="D182" s="9" t="s">
        <v>4</v>
      </c>
      <c r="E182" s="6"/>
      <c r="F182" s="6">
        <v>3</v>
      </c>
      <c r="G182" s="6">
        <v>25</v>
      </c>
    </row>
    <row r="183" spans="1:7">
      <c r="A183" s="5">
        <v>46204</v>
      </c>
      <c r="B183" s="6"/>
      <c r="C183" s="6" t="s">
        <v>2</v>
      </c>
      <c r="D183" s="9" t="s">
        <v>4</v>
      </c>
      <c r="E183" s="6"/>
      <c r="F183" s="6">
        <v>1</v>
      </c>
      <c r="G183" s="6">
        <v>30</v>
      </c>
    </row>
    <row r="184" spans="1:7">
      <c r="A184" s="5">
        <v>46205</v>
      </c>
      <c r="B184" s="6"/>
      <c r="C184" s="6" t="s">
        <v>2</v>
      </c>
      <c r="D184" s="9" t="s">
        <v>4</v>
      </c>
      <c r="E184" s="6"/>
      <c r="F184" s="6">
        <v>4</v>
      </c>
      <c r="G184" s="6">
        <v>30</v>
      </c>
    </row>
    <row r="189" spans="1:7">
      <c r="A189" s="5">
        <v>46209</v>
      </c>
      <c r="B189" s="6"/>
      <c r="C189" s="6" t="s">
        <v>2</v>
      </c>
      <c r="D189" s="9" t="s">
        <v>4</v>
      </c>
      <c r="E189" s="6"/>
      <c r="F189" s="6">
        <v>1</v>
      </c>
      <c r="G189" s="6">
        <v>30</v>
      </c>
    </row>
    <row r="190" spans="1:7">
      <c r="A190" s="5">
        <v>46209</v>
      </c>
      <c r="B190" s="6"/>
      <c r="C190" s="6" t="s">
        <v>3</v>
      </c>
      <c r="D190" s="9" t="s">
        <v>4</v>
      </c>
      <c r="E190" s="6"/>
      <c r="F190" s="6">
        <v>1</v>
      </c>
      <c r="G190" s="6">
        <v>25</v>
      </c>
    </row>
    <row r="191" spans="1:7">
      <c r="A191" s="5">
        <v>46210</v>
      </c>
      <c r="B191" s="6"/>
      <c r="C191" s="6" t="s">
        <v>2</v>
      </c>
      <c r="D191" s="9" t="s">
        <v>4</v>
      </c>
      <c r="E191" s="6"/>
      <c r="F191" s="6">
        <v>-1</v>
      </c>
      <c r="G191" s="6">
        <v>30</v>
      </c>
    </row>
    <row r="192" spans="1:7">
      <c r="A192" s="5">
        <v>46210</v>
      </c>
      <c r="B192" s="6"/>
      <c r="C192" s="6" t="s">
        <v>3</v>
      </c>
      <c r="D192" s="9" t="s">
        <v>4</v>
      </c>
      <c r="E192" s="6"/>
      <c r="F192" s="6">
        <v>2</v>
      </c>
      <c r="G192" s="6">
        <v>25</v>
      </c>
    </row>
    <row r="193" spans="1:7">
      <c r="A193" s="5">
        <v>46211</v>
      </c>
      <c r="B193" s="6"/>
      <c r="C193" s="6" t="s">
        <v>3</v>
      </c>
      <c r="D193" s="9" t="s">
        <v>4</v>
      </c>
      <c r="E193" s="6"/>
      <c r="F193" s="6">
        <v>3</v>
      </c>
      <c r="G193" s="6">
        <v>25</v>
      </c>
    </row>
    <row r="194" spans="1:7">
      <c r="A194" s="5">
        <v>46212</v>
      </c>
      <c r="B194" s="6"/>
      <c r="C194" s="6" t="s">
        <v>3</v>
      </c>
      <c r="D194" s="9" t="s">
        <v>4</v>
      </c>
      <c r="E194" s="6"/>
      <c r="F194" s="6">
        <v>3</v>
      </c>
      <c r="G194" s="6">
        <v>25</v>
      </c>
    </row>
    <row r="195" spans="1:7">
      <c r="A195" s="5"/>
      <c r="B195" s="6"/>
      <c r="C195" s="6"/>
      <c r="D195" s="9"/>
      <c r="E195" s="6"/>
      <c r="F195" s="6"/>
      <c r="G195" s="6"/>
    </row>
  </sheetData>
  <autoFilter ref="A1:I47" xr:uid="{DE9F15DC-31A0-4C1F-BB26-9BAD05172A4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</dc:creator>
  <cp:lastModifiedBy>Johnson</cp:lastModifiedBy>
  <dcterms:created xsi:type="dcterms:W3CDTF">2026-04-03T14:06:13Z</dcterms:created>
  <dcterms:modified xsi:type="dcterms:W3CDTF">2026-07-12T13:16:09Z</dcterms:modified>
</cp:coreProperties>
</file>