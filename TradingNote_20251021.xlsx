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Note" sheetId="1" r:id="rId4"/>
    <sheet state="visible" name="2026_Performance" sheetId="2" r:id="rId5"/>
    <sheet state="visible" name="「「CheckList v3" sheetId="3" r:id="rId6"/>
    <sheet state="visible" name="Calculator" sheetId="4" r:id="rId7"/>
    <sheet state="visible" name="核心觀念" sheetId="5" r:id="rId8"/>
    <sheet state="visible" name="Idea" sheetId="6" r:id="rId9"/>
    <sheet state="visible" name="外匯 模板" sheetId="7" r:id="rId10"/>
    <sheet state="visible" name="外匯 控制" sheetId="8" r:id="rId11"/>
    <sheet state="visible" name="外匯 History" sheetId="9" r:id="rId12"/>
    <sheet state="visible" name="「CheckList v2" sheetId="10" r:id="rId13"/>
    <sheet state="visible" name="Total_Performance" sheetId="11" r:id="rId14"/>
    <sheet state="visible" name="2025 TradingNote" sheetId="12" r:id="rId15"/>
    <sheet state="visible" name="2025 CheckList" sheetId="13" r:id="rId16"/>
  </sheets>
  <definedNames/>
  <calcPr/>
  <extLst>
    <ext uri="GoogleSheetsCustomDataVersion2">
      <go:sheetsCustomData xmlns:go="http://customooxmlschemas.google.com/" r:id="rId17" roundtripDataChecksum="MvRlcEVksC9X+jHVJzwCZQTR6ypPFP/98r706KPCE2M="/>
    </ext>
  </extLst>
</workbook>
</file>

<file path=xl/sharedStrings.xml><?xml version="1.0" encoding="utf-8"?>
<sst xmlns="http://schemas.openxmlformats.org/spreadsheetml/2006/main" count="2411" uniqueCount="499">
  <si>
    <t xml:space="preserve">Master </t>
  </si>
  <si>
    <t>盤前</t>
  </si>
  <si>
    <t>FTMO</t>
  </si>
  <si>
    <t>PASS OR FAIL?</t>
  </si>
  <si>
    <t xml:space="preserve">Slave </t>
  </si>
  <si>
    <t>Vantage</t>
  </si>
  <si>
    <t xml:space="preserve">FTMO </t>
  </si>
  <si>
    <t>心情是否平穩?</t>
  </si>
  <si>
    <t>PASS</t>
  </si>
  <si>
    <t>確認沒新聞</t>
  </si>
  <si>
    <t>一天最多2筆交易 ( BE也算)</t>
  </si>
  <si>
    <t>支撐壓力轉換，設沒被滿足過的結構點 (15min 跟 5min都要看)，"CLEAR"</t>
  </si>
  <si>
    <t>確認symbols跟券商一致</t>
  </si>
  <si>
    <t>%</t>
  </si>
  <si>
    <t>Slow Day不做，因為Volume is Very Important.</t>
  </si>
  <si>
    <t>盤中</t>
  </si>
  <si>
    <t>"Fast"突破壓力支撐</t>
  </si>
  <si>
    <t>One More Push.</t>
  </si>
  <si>
    <t>Orginal Account</t>
  </si>
  <si>
    <t>進場後</t>
  </si>
  <si>
    <t>US30</t>
  </si>
  <si>
    <t>TP1 hit，BE要設正的，防止迅速反彈</t>
  </si>
  <si>
    <t>NAS100</t>
  </si>
  <si>
    <t>PIPS:</t>
  </si>
  <si>
    <t>要整數，小數點第一位而已，因為最小0.1</t>
  </si>
  <si>
    <t>Pips</t>
  </si>
  <si>
    <t>手數:</t>
  </si>
  <si>
    <r>
      <rPr>
        <rFont val="Comic Sans MS"/>
        <color theme="1"/>
      </rPr>
      <t xml:space="preserve">TPT1為 </t>
    </r>
    <r>
      <rPr>
        <rFont val="Comic Sans MS"/>
        <color rgb="FFFF0000"/>
      </rPr>
      <t>210</t>
    </r>
    <r>
      <rPr>
        <rFont val="Comic Sans MS"/>
        <color theme="1"/>
      </rPr>
      <t>價格，MAX 虧損</t>
    </r>
    <r>
      <rPr>
        <rFont val="Comic Sans MS"/>
        <color rgb="FFFF0000"/>
      </rPr>
      <t>210</t>
    </r>
    <r>
      <rPr>
        <rFont val="Comic Sans MS"/>
        <color theme="1"/>
      </rPr>
      <t>，要跟Trading view指標Align</t>
    </r>
  </si>
  <si>
    <t>10%通關R&amp;R需要20W</t>
  </si>
  <si>
    <t>Lots</t>
  </si>
  <si>
    <t>一定要先設定SL</t>
  </si>
  <si>
    <t>*8 = FTMO 1%</t>
  </si>
  <si>
    <t>BE要設定正的，不然FTMO差很多</t>
  </si>
  <si>
    <t>風控</t>
  </si>
  <si>
    <t>TradingView指標跟EA風險金額設定一樣?</t>
  </si>
  <si>
    <t>Uncheck</t>
  </si>
  <si>
    <t>Flip Rate</t>
  </si>
  <si>
    <t>RISK:</t>
  </si>
  <si>
    <t>R</t>
  </si>
  <si>
    <t>pips</t>
  </si>
  <si>
    <t>MAX 1W/D</t>
  </si>
  <si>
    <t>*12 = FTMO 1.5%</t>
  </si>
  <si>
    <t>勝率:</t>
  </si>
  <si>
    <t>交易前</t>
  </si>
  <si>
    <t>手數</t>
  </si>
  <si>
    <t>SL pips</t>
  </si>
  <si>
    <t>R &amp; R</t>
  </si>
  <si>
    <t>交易結果</t>
  </si>
  <si>
    <t>Checklist</t>
  </si>
  <si>
    <t>Pair</t>
  </si>
  <si>
    <t>SL</t>
  </si>
  <si>
    <t>TP</t>
  </si>
  <si>
    <t>Date</t>
  </si>
  <si>
    <t>Time</t>
  </si>
  <si>
    <t>Lesson Learn</t>
  </si>
  <si>
    <t>1W04</t>
  </si>
  <si>
    <t>策略核心</t>
  </si>
  <si>
    <t>賽後檢討</t>
  </si>
  <si>
    <t>https://www.forexfactory.com/calendar?day=dec31.2025</t>
  </si>
  <si>
    <t>V</t>
  </si>
  <si>
    <t>DJ30</t>
  </si>
  <si>
    <t>保持策略 Easy and Simple</t>
  </si>
  <si>
    <t>心態沒問題且遵守策略就代表好交易</t>
  </si>
  <si>
    <t>保持心態</t>
  </si>
  <si>
    <t>交易可以犯錯，不要太在意</t>
  </si>
  <si>
    <t>指標要思考它真正的意義是甚麼? 
背後的數學怎麼算</t>
  </si>
  <si>
    <t>不要看到別人的策略就羨慕，因為有利有弊</t>
  </si>
  <si>
    <t>策略會越來越精進，不要擔心</t>
  </si>
  <si>
    <t>輸了不要可惜，你又不是賺不到</t>
  </si>
  <si>
    <t>5 R&amp;R收手</t>
  </si>
  <si>
    <t>當你覺得錢很難賺，你就注定賺不到</t>
  </si>
  <si>
    <t xml:space="preserve"> -&gt; 你不是在賺錢，是在執行策略蒐集數據</t>
  </si>
  <si>
    <t>你沒辦法預測市場怎麼走，順應他</t>
  </si>
  <si>
    <t>Target:</t>
  </si>
  <si>
    <t>又不是沒虧過這幾筆</t>
  </si>
  <si>
    <t>「我現在不是在輸錢，</t>
  </si>
  <si>
    <t>我的策略不是追求每一筆都對，</t>
  </si>
  <si>
    <t>我是在用小成本確認：</t>
  </si>
  <si>
    <t>而是確保「錯的單快速死、對的單能活很久」。</t>
  </si>
  <si>
    <t>市場目前不想走趨勢。」</t>
  </si>
  <si>
    <t>連續 SL 不代表我錯，</t>
  </si>
  <si>
    <t>「只要有一筆真的延續，</t>
  </si>
  <si>
    <t>只代表市場暫時沒有給我「值得延續的突破」。</t>
  </si>
  <si>
    <t>它會補回前面所有嘗試，</t>
  </si>
  <si>
    <t>而且還會多。」</t>
  </si>
  <si>
    <t>只要我每一筆 SL 都是「結構失效」，</t>
  </si>
  <si>
    <t>那就是一筆合格的交易，而不是失敗。</t>
  </si>
  <si>
    <t>會越來越好，因為我正在替除掉不需要的東西</t>
  </si>
  <si>
    <t>最大浮盈（Max Favorable R）要記錄?</t>
  </si>
  <si>
    <t>下降太快也要砍? V型反轉</t>
  </si>
  <si>
    <t>通常開盤那根最容易</t>
  </si>
  <si>
    <t>加一個屬性 WAITING</t>
  </si>
  <si>
    <t>是否碰到AOI再打勾就好?</t>
  </si>
  <si>
    <t>不需要CHECKE的拿掉</t>
  </si>
  <si>
    <t>SL可以縮小</t>
  </si>
  <si>
    <t>分數分開算</t>
  </si>
  <si>
    <t>趨勢用W跟D決定</t>
  </si>
  <si>
    <t>用MAMBA TP</t>
  </si>
  <si>
    <t>SL用ATR</t>
  </si>
  <si>
    <t>有驗證過</t>
  </si>
  <si>
    <t>MAMBA BUFF</t>
  </si>
  <si>
    <t>是否嘗試跟著他星期五不交易</t>
  </si>
  <si>
    <t>根據交易質量可以選擇不同的"下單次數"</t>
  </si>
  <si>
    <t>高分setup被打掉後 反著做?</t>
  </si>
  <si>
    <t>代表吸引流動性</t>
  </si>
  <si>
    <t>X</t>
  </si>
  <si>
    <t>做一個指標比較當前跟前一根atr?</t>
  </si>
  <si>
    <t>被打掉反著做?</t>
  </si>
  <si>
    <t>要等反轉candle</t>
  </si>
  <si>
    <t>高分setup</t>
  </si>
  <si>
    <t>進場點要設比實際高，因為Delay</t>
  </si>
  <si>
    <t>RR&lt; 2</t>
  </si>
  <si>
    <t>Reach:</t>
  </si>
  <si>
    <t>c級setup</t>
  </si>
  <si>
    <t>我想做的突破不會回撤</t>
  </si>
  <si>
    <t>1min反轉candle</t>
  </si>
  <si>
    <t>行程趨勢線</t>
  </si>
  <si>
    <t>SL放趨勢線</t>
  </si>
  <si>
    <t>考慮BE?</t>
  </si>
  <si>
    <t>進場前就要做好規劃</t>
  </si>
  <si>
    <t>看起來FOMC好像可以做?</t>
  </si>
  <si>
    <t>TP 2以上才做?</t>
  </si>
  <si>
    <t>通常碰到一個TP會先回撤繼續</t>
  </si>
  <si>
    <t>TP 5min也要看</t>
  </si>
  <si>
    <t>1min ATR RSI</t>
  </si>
  <si>
    <t>RSI看趨勢延續?</t>
  </si>
  <si>
    <t>RSI突破後沒超賣，就要準備BE</t>
  </si>
  <si>
    <t>應該沒有假突破 應該都是TP設不好</t>
  </si>
  <si>
    <t>我從回測數據來看，很少入場直接被打掉的，一般都是跑一陣子沒有TP就反轉</t>
  </si>
  <si>
    <t>TP要設沒被滿足過的結構點</t>
  </si>
  <si>
    <t>價格走得不如ATR，是否代表要反轉?</t>
  </si>
  <si>
    <t>沒有動能就直接出場?</t>
  </si>
  <si>
    <t>-&gt;回徹還可以重新進場</t>
  </si>
  <si>
    <t>短線 -&gt; rsi跟atr好像看不出來</t>
  </si>
  <si>
    <t xml:space="preserve"> -&gt; 是否打到TP就出場</t>
  </si>
  <si>
    <t>虧損太急著重新入場了</t>
  </si>
  <si>
    <t>-&gt;要等回撤成功</t>
  </si>
  <si>
    <t xml:space="preserve"> -&gt; 可以看小時區</t>
  </si>
  <si>
    <t>-&gt;因為我不知道他會回採哪個支撐</t>
  </si>
  <si>
    <t>-&gt; 等1min 突破</t>
  </si>
  <si>
    <t>反轉多次可以做反單</t>
  </si>
  <si>
    <t>-&gt; 參考MAMBA 01/14錄影</t>
  </si>
  <si>
    <t>增加一個EA，防止沒設定SL，開單掛掉</t>
  </si>
  <si>
    <t>不做回撤</t>
  </si>
  <si>
    <t>-&gt; 回撤直接be?</t>
  </si>
  <si>
    <t>我看數據都是同一天虧損很多次</t>
  </si>
  <si>
    <t>-&gt; 減少出手次數</t>
  </si>
  <si>
    <t>如果一天一筆，虧損後不再入場</t>
  </si>
  <si>
    <t>61勝率，每禮拜賺3-4R</t>
  </si>
  <si>
    <t>別急著入場</t>
  </si>
  <si>
    <t>-&gt; 觀察兩個symbol相同方向as well</t>
  </si>
  <si>
    <t>回測成功再突破</t>
  </si>
  <si>
    <t>通常一次摜破兩層就是突然爆發的那種突破</t>
  </si>
  <si>
    <t>-&gt; 不會有回撤，但只有一波</t>
  </si>
  <si>
    <t>-&gt; 可以在第二層布局</t>
  </si>
  <si>
    <t>-&gt; 31分太急，來不及設定sl</t>
  </si>
  <si>
    <t>只要回撤不破</t>
  </si>
  <si>
    <t>-&gt; 就有機會噴上去</t>
  </si>
  <si>
    <t>修改策略前的準備?</t>
  </si>
  <si>
    <t>-&gt; release前的check list</t>
  </si>
  <si>
    <t>ATR異常高，代表slow day?</t>
  </si>
  <si>
    <t>連續兩天在相同support 區</t>
  </si>
  <si>
    <t>-&gt;  突破後會很強勁不回撤?</t>
  </si>
  <si>
    <t>Daily Weekly 20EMA同方向</t>
  </si>
  <si>
    <t>4 hour 出現連續3根同方向Candle(從最後往前數) -&gt; OB</t>
  </si>
  <si>
    <t>1 hour等IMPULSE、吞噬</t>
  </si>
  <si>
    <t>-&gt; 實體佔整根 K 棒 70% 以上</t>
  </si>
  <si>
    <t>進場SL放OB低點</t>
  </si>
  <si>
    <t>TP設4</t>
  </si>
  <si>
    <t>可分批出或TP1 BE</t>
  </si>
  <si>
    <t>是否用1min的SL就好?</t>
  </si>
  <si>
    <t>-&gt; 因為用1min進場</t>
  </si>
  <si>
    <t>-&gt; 好像太緊，會變沒有容錯，畢竟進場點不一樣</t>
  </si>
  <si>
    <t>開盤有尖刺也可以進場</t>
  </si>
  <si>
    <t>FTMO改成1%</t>
  </si>
  <si>
    <t>-&gt; 可以調整虧損次數</t>
  </si>
  <si>
    <t>用雙螢幕監看比較好</t>
  </si>
  <si>
    <t>-&gt; 這樣才不會漏掉</t>
  </si>
  <si>
    <t>開盤跳空要直接幹</t>
  </si>
  <si>
    <t xml:space="preserve">ATR異常大，很容易反轉 </t>
  </si>
  <si>
    <t>-&gt; 不要開場(35分前)先進 &gt; 等有尖尖的拒絕 &gt; 大candle突破尖尖可進場?</t>
  </si>
  <si>
    <t>-&gt; SL不用設到ATR那麼大，支撐區就好?</t>
  </si>
  <si>
    <t>-&gt; 市場結構變了，先縮小手數 -&gt; 穩定求生比較重要</t>
  </si>
  <si>
    <t>ATR大 好像NAS100比較容易真突破 ?</t>
  </si>
  <si>
    <t>-&gt; 比較好做</t>
  </si>
  <si>
    <t>DJ30 -&gt; 40算大</t>
  </si>
  <si>
    <t>NAS100 -&gt; 30算大</t>
  </si>
  <si>
    <t>回撤要乾淨</t>
  </si>
  <si>
    <t>沒有照著ATR，這禮拜算是習慣新策略</t>
  </si>
  <si>
    <t>-&gt; 徘徊不好?</t>
  </si>
  <si>
    <t>兩個symbol一起看</t>
  </si>
  <si>
    <t>一週 4 天</t>
  </si>
  <si>
    <t>最多 6 筆交易</t>
  </si>
  <si>
    <t>歷史 最大連敗 = 4</t>
  </si>
  <si>
    <t>1.5% → 到 -6%降1%</t>
  </si>
  <si>
    <t>-8% → 降0.5%</t>
  </si>
  <si>
    <t>10連敗才爆</t>
  </si>
  <si>
    <t>開盤前先規劃突破支撐</t>
  </si>
  <si>
    <t>-&gt; 觀察實際開盤後的走勢，在哪反轉? 是不是大時區那裏其實有支撐區</t>
  </si>
  <si>
    <t>-&gt; 看突破那根的質量，突破後回徹也可以做</t>
  </si>
  <si>
    <t>big candle as well</t>
  </si>
  <si>
    <t xml:space="preserve">支撐轉壓力 </t>
  </si>
  <si>
    <t>-&gt; 也可做</t>
  </si>
  <si>
    <t>可以畫箭頭輔助</t>
  </si>
  <si>
    <t>-&gt; 突破那根含燈芯 至少要大於0.6ATR?</t>
  </si>
  <si>
    <t>飽滿 -&gt; 回撤</t>
  </si>
  <si>
    <t>找最近的支撐壓力就好 5MIN跟15MIN都畫</t>
  </si>
  <si>
    <t>-&gt; 已經填補過的支撐壓力就可以捨棄了，除非是壓力轉支撐</t>
  </si>
  <si>
    <t>-&gt; 一個支撐壓力只用一次</t>
  </si>
  <si>
    <t>盯盤都叮了要隨時轉移你的目標支撐</t>
  </si>
  <si>
    <t>果斷很重要</t>
  </si>
  <si>
    <t>回放都可以賺錢</t>
  </si>
  <si>
    <t>-&gt; 回放也要果斷</t>
  </si>
  <si>
    <t>設立一個績效標準?</t>
  </si>
  <si>
    <t>-&gt; 目標是要以這為職業，不要求快，要有PLAN</t>
  </si>
  <si>
    <t>價格回撤一個區間 跌不破突破不了，才叫支撐</t>
  </si>
  <si>
    <t xml:space="preserve"> -&gt; 所以是引線的上方
</t>
  </si>
  <si>
    <t>可以畫兩條白線跟預測走勢線輔助</t>
  </si>
  <si>
    <t>思考什麼是乾淨的支撐</t>
  </si>
  <si>
    <t>ATR越大是否不吃回徹這套?</t>
  </si>
  <si>
    <t>-&gt; 快進快出?</t>
  </si>
  <si>
    <t>回撤步驟?</t>
  </si>
  <si>
    <t>ATR大</t>
  </si>
  <si>
    <t>-&gt; 突破後尖尖回撤</t>
  </si>
  <si>
    <t>-&gt; 再次突破區域可進場，不用確定突破尖尖的</t>
  </si>
  <si>
    <t>要確認沒被"滿足過"的區域，支撐轉壓力1次而已</t>
  </si>
  <si>
    <t>突破應該是要fast</t>
  </si>
  <si>
    <t>slow day縮小risk</t>
  </si>
  <si>
    <t>slow day 看他回徹的區域 可以畫新的支撐</t>
  </si>
  <si>
    <t>往上衝一點 又回撤</t>
  </si>
  <si>
    <t>-&gt; 可以不做</t>
  </si>
  <si>
    <t>-&gt; 不要為了這種冒太大風險，可以小試身手</t>
  </si>
  <si>
    <t>原本TP1該BE，但沒BE就把打掉</t>
  </si>
  <si>
    <t>先觀察兩個SYMBOLS volume</t>
  </si>
  <si>
    <t>優先關注第一次突破的</t>
  </si>
  <si>
    <t>📌 **I. 大趨勢（決定多空方向）</t>
  </si>
  <si>
    <t>突破後繼續走</t>
  </si>
  <si>
    <t>也就是One More Push的概念</t>
  </si>
  <si>
    <t>如果突破後回撤</t>
  </si>
  <si>
    <t>必須很快的填滿然後繼續走</t>
  </si>
  <si>
    <t>機會都等到了</t>
  </si>
  <si>
    <t>不要TP2就走</t>
  </si>
  <si>
    <t>不用等離開太遠，SL設在支撐上</t>
  </si>
  <si>
    <t>要果斷一點</t>
  </si>
  <si>
    <t>因為好的突破不容易等到</t>
  </si>
  <si>
    <t>大趨勢項目</t>
  </si>
  <si>
    <t>突破後回撤 馬上再突破</t>
  </si>
  <si>
    <t>-&gt; 高機率SETUP</t>
  </si>
  <si>
    <t>一直持續突破</t>
  </si>
  <si>
    <t>Weekly</t>
  </si>
  <si>
    <t>等待高機率SETUP</t>
  </si>
  <si>
    <t>Daily</t>
  </si>
  <si>
    <t>-&gt;沒機會就不做</t>
  </si>
  <si>
    <t>-&gt; 1個禮拜只做1筆，但5R
跟每個禮拜做滿4次，但實際只有1R</t>
  </si>
  <si>
    <t>4H</t>
  </si>
  <si>
    <t>承認交易原本就不穩定</t>
  </si>
  <si>
    <t>1H</t>
  </si>
  <si>
    <t>信用 1851</t>
  </si>
  <si>
    <t>先填滿1851</t>
  </si>
  <si>
    <t>30min</t>
  </si>
  <si>
    <t>ftmo記得久久掛著</t>
  </si>
  <si>
    <t>用payout 買account</t>
  </si>
  <si>
    <t>15min</t>
  </si>
  <si>
    <t>節奏是</t>
  </si>
  <si>
    <t>突破後 -&gt; 回撤 -&gt; 默數1, 2內 -&gt; 再突破</t>
  </si>
  <si>
    <t>4hour支撐 跟趨勢 -&gt; 引線</t>
  </si>
  <si>
    <t>1hour預備 破底翻標記及尖尖 -&gt; 有支撐住</t>
  </si>
  <si>
    <t>5min回徹ema 有支撐住後push上去</t>
  </si>
  <si>
    <t>時間段?</t>
  </si>
  <si>
    <t>slow day就要越快收手?</t>
  </si>
  <si>
    <t>一次走很多就可以buy</t>
  </si>
  <si>
    <t>突破後一直延續突破也可以</t>
  </si>
  <si>
    <t>持續兩波進攻 1 , 2</t>
  </si>
  <si>
    <t>趨勢（Trend）</t>
  </si>
  <si>
    <t>重點是volume</t>
  </si>
  <si>
    <t>突破後有延續</t>
  </si>
  <si>
    <t>DOWN</t>
  </si>
  <si>
    <t>績效差的禮拜是否TP1就Close</t>
  </si>
  <si>
    <t>滾動式調整</t>
  </si>
  <si>
    <t>UP</t>
  </si>
  <si>
    <t>突破支撐後 沒有回到支撐以下</t>
  </si>
  <si>
    <t>-&gt; 帶量突破?</t>
  </si>
  <si>
    <t>沒有繼續push要close?</t>
  </si>
  <si>
    <t>支撐下 不回去原本支撐區</t>
  </si>
  <si>
    <t>持續突破</t>
  </si>
  <si>
    <t>Over Trade，一天最多4筆，這禮拜算是習慣新策略</t>
  </si>
  <si>
    <t>EMA 排列（多頭 / 空頭）</t>
  </si>
  <si>
    <t>Waiting</t>
  </si>
  <si>
    <t>AOI（高週期關注區）</t>
  </si>
  <si>
    <t>N/A</t>
  </si>
  <si>
    <t>Reject（Pin bar / 上下影線吸流）</t>
  </si>
  <si>
    <t>Total</t>
  </si>
  <si>
    <t>📌 **II. 進場條件（精準 entry）</t>
  </si>
  <si>
    <t>進場條件</t>
  </si>
  <si>
    <t>訂單塊 OB（Fresh / Mitigated）</t>
  </si>
  <si>
    <t>吞噬 K 棒（Engulfing）</t>
  </si>
  <si>
    <t>頭尖頂</t>
  </si>
  <si>
    <t>突破趨勢線（Trendline Break）</t>
  </si>
  <si>
    <t>AUDUSD</t>
  </si>
  <si>
    <t>還是直接Close比較能夠冷靜</t>
  </si>
  <si>
    <t>原本可以賺錢，但因為下的手數不是0.5倍數所以一直被卡，
而且MAX虧損70，沒有及時砍單，以後要直接設定SL。
因為今天FTMO沒有設定好SL，爆倉了。</t>
  </si>
  <si>
    <t>MAX虧損70，沒有及時砍單，以後要直接設定SL，但至少沒有任何想凹單的想法</t>
  </si>
  <si>
    <t>nzdusd</t>
  </si>
  <si>
    <t>b+s</t>
  </si>
  <si>
    <t>L</t>
  </si>
  <si>
    <t>eurcad</t>
  </si>
  <si>
    <t>a+b</t>
  </si>
  <si>
    <t>euraud</t>
  </si>
  <si>
    <t>AUDCAD</t>
  </si>
  <si>
    <t>A 類（必要）— 心態 &amp; 紀律</t>
  </si>
  <si>
    <t>權重</t>
  </si>
  <si>
    <t>執行策略，蒐集數據</t>
  </si>
  <si>
    <t>開盤前就要做好規劃TP SL 支撐壓力</t>
  </si>
  <si>
    <r>
      <rPr>
        <rFont val="Comic Sans MS"/>
        <color theme="1"/>
      </rPr>
      <t>一天最多"</t>
    </r>
    <r>
      <rPr>
        <rFont val="Comic Sans MS"/>
        <b/>
        <color rgb="FFFF0000"/>
      </rPr>
      <t>1</t>
    </r>
    <r>
      <rPr>
        <rFont val="Comic Sans MS"/>
        <color theme="1"/>
      </rPr>
      <t>"筆交易</t>
    </r>
  </si>
  <si>
    <t>B 類（必要）— 市場結構</t>
  </si>
  <si>
    <t>HLH的支撐壓力結構點</t>
  </si>
  <si>
    <t>大蠟燭突破</t>
  </si>
  <si>
    <t>TP要設沒被滿足過的結構點 (15min 跟 5min都要看)</t>
  </si>
  <si>
    <t>SL設定跟隨ATR</t>
  </si>
  <si>
    <r>
      <rPr>
        <rFont val="Comic Sans MS"/>
        <color theme="1"/>
      </rPr>
      <t>1min candle回踩成功 -&gt; 要等</t>
    </r>
    <r>
      <rPr>
        <rFont val="Comic Sans MS"/>
        <color rgb="FFFF0000"/>
      </rPr>
      <t>快收盤</t>
    </r>
  </si>
  <si>
    <t>C 類 進場後觀察（RSI / ATR 只做監控）</t>
  </si>
  <si>
    <t>碰到結構點</t>
  </si>
  <si>
    <t>US30跟NAS100不同方向</t>
  </si>
  <si>
    <r>
      <rPr>
        <rFont val="Calibri"/>
        <color theme="1"/>
      </rPr>
      <t>TP1 hit，也就是賺</t>
    </r>
    <r>
      <rPr>
        <rFont val="Calibri"/>
        <color rgb="FFFF0000"/>
      </rPr>
      <t>210</t>
    </r>
    <r>
      <rPr>
        <rFont val="Calibri"/>
        <color theme="1"/>
      </rPr>
      <t>，BE要設正的，防止迅速反彈</t>
    </r>
  </si>
  <si>
    <t>D 類 手數</t>
  </si>
  <si>
    <r>
      <rPr>
        <rFont val="Comic Sans MS"/>
        <color theme="1"/>
      </rPr>
      <t xml:space="preserve">TPT1為 </t>
    </r>
    <r>
      <rPr>
        <rFont val="Comic Sans MS"/>
        <color rgb="FFFF0000"/>
      </rPr>
      <t>210</t>
    </r>
    <r>
      <rPr>
        <rFont val="Comic Sans MS"/>
        <color theme="1"/>
      </rPr>
      <t>價格，MAX 虧損</t>
    </r>
    <r>
      <rPr>
        <rFont val="Comic Sans MS"/>
        <color rgb="FFFF0000"/>
      </rPr>
      <t>210</t>
    </r>
    <r>
      <rPr>
        <rFont val="Comic Sans MS"/>
        <color theme="1"/>
      </rPr>
      <t>，要跟Trading view指標Align</t>
    </r>
  </si>
  <si>
    <t>還是忘記BE要設定正的</t>
  </si>
  <si>
    <t>AUDJPY</t>
  </si>
  <si>
    <t>川普剛講話，市場非常沒有流動性，而且atr異常的大，今天交易很有風險，所以BE</t>
  </si>
  <si>
    <t>NZDCAD</t>
  </si>
  <si>
    <t>等回撤，一天一單OK</t>
  </si>
  <si>
    <t>開盤第二層布局，但來不及調SL，造成SL太大</t>
  </si>
  <si>
    <t>等回撤1MIN OK，因為NAS SELL，但DJ30往上漲，所以不要持倉太久</t>
  </si>
  <si>
    <t>NZDJPY</t>
  </si>
  <si>
    <t>交易次數</t>
  </si>
  <si>
    <t>Total Profit</t>
  </si>
  <si>
    <t>Total R&amp;R</t>
  </si>
  <si>
    <t>Fliter Profit</t>
  </si>
  <si>
    <t>Fliter R&amp;R</t>
  </si>
  <si>
    <t>Peak</t>
  </si>
  <si>
    <t>Drawdown</t>
  </si>
  <si>
    <t>MAX DD</t>
  </si>
  <si>
    <t>等回撤，一天一單OK，雖然第一波爆發沒跟到，但少了一些風險，
等回徹一天一筆更適合我</t>
  </si>
  <si>
    <t>錯過NAS100好的單，但沒關係市場一直都在，沒有追高，所以等機會做US30。</t>
  </si>
  <si>
    <t>等回撤OK，進場後動的有點慢，所以TP1 BE後，看突破不了就砍單了</t>
  </si>
  <si>
    <t>NZDUSD</t>
  </si>
  <si>
    <t>一天一筆OK，發現ATR異常大，是否這樣的天都會造成Slow?</t>
  </si>
  <si>
    <t>來不及close，沒關係</t>
  </si>
  <si>
    <t>USDJPY</t>
  </si>
  <si>
    <t>Very slow day, 沒看尖尖的拒絕進場，因為以後會吞噬，但後面沒有。
算是看錯，但沒關係，有守紀律最重要。</t>
  </si>
  <si>
    <t>Mamba開盤直接上US30，我不應該等5min回撤，應該主攻1min，失誤了，
但沒關係沒有突破紀律</t>
  </si>
  <si>
    <t>EURGBP</t>
  </si>
  <si>
    <t>FOMC，但Mamba有交易，所以我跟著交易。後來US30有跟著突破，應該跟FOMC沒關係</t>
  </si>
  <si>
    <t>FAIL</t>
  </si>
  <si>
    <t>EURNZD</t>
  </si>
  <si>
    <t>涵碧樓網路延遲不然原本TP2，沒差，住得真爽。</t>
  </si>
  <si>
    <t>太早進場 -&gt; 要等1min快收盤才可以進場</t>
  </si>
  <si>
    <t>tp5，但沒等到</t>
  </si>
  <si>
    <t>EURCAD</t>
  </si>
  <si>
    <t>EURAUD</t>
  </si>
  <si>
    <t>開盤前atr也異常大，slow day</t>
  </si>
  <si>
    <t>開盤前atr異常大，NAS來到40，slow day</t>
  </si>
  <si>
    <t>開盤前ATR異常大，所以Be careful。 觀察速度，很容易反轉!!!</t>
  </si>
  <si>
    <t>ATR大，這周戰爭影響都Slow move...</t>
  </si>
  <si>
    <t>EURJPY</t>
  </si>
  <si>
    <t>FTMO 20W 開始的第一天. ATR very big, slow...............</t>
  </si>
  <si>
    <t xml:space="preserve">ATR very big, slow............... </t>
  </si>
  <si>
    <t>可損失金額</t>
  </si>
  <si>
    <t>盈虧比</t>
  </si>
  <si>
    <t>ATR very big, slow............... , BE</t>
  </si>
  <si>
    <t>回撤顏色跟PUSH方向不對就進場</t>
  </si>
  <si>
    <t>v</t>
  </si>
  <si>
    <t>Nas100</t>
  </si>
  <si>
    <t>this week very slow..</t>
  </si>
  <si>
    <t>25097.89、25017.97</t>
  </si>
  <si>
    <t>46862.23、46890.94</t>
  </si>
  <si>
    <t>GBPCAD</t>
  </si>
  <si>
    <t>46885.02、46810.26</t>
  </si>
  <si>
    <t>25018.38、24997.85</t>
  </si>
  <si>
    <t>入場點設錯(要設離當下最近的)跟TP1設太遠、原本應該可以賺錢的，但紀律有守住。</t>
  </si>
  <si>
    <t>2W01</t>
  </si>
  <si>
    <t>46738.02、46818.14</t>
  </si>
  <si>
    <t>24932.41、24990.56</t>
  </si>
  <si>
    <t>25253.69、25208.36</t>
  </si>
  <si>
    <t>要等"突破後"的回撤，但我這沒有突破的，只看到回徹而已</t>
  </si>
  <si>
    <t>47116.41、47177.83</t>
  </si>
  <si>
    <t>Using Mamba TP，因為在高點</t>
  </si>
  <si>
    <t xml:space="preserve"> </t>
  </si>
  <si>
    <t>2W02</t>
  </si>
  <si>
    <t>47349.56、47218.19</t>
  </si>
  <si>
    <t>No Value...</t>
  </si>
  <si>
    <t>x</t>
  </si>
  <si>
    <t>進入還沒設TP就被SL，當下怕被止損，所以調大SL -&gt; 沒遵守計畫</t>
  </si>
  <si>
    <t>打掉我馬上反轉.......................................................:)</t>
  </si>
  <si>
    <t>47796.85、47642.39</t>
  </si>
  <si>
    <t>EURUSD</t>
  </si>
  <si>
    <t>特意等到31分後，多次反彈後突破高點進場，然後有學習MAMBA移動到5min最近的支撐壓力，
不然原本是放在47786.63</t>
  </si>
  <si>
    <t>47603.79、47711.45</t>
  </si>
  <si>
    <t>稍微有點早進的感覺，TP1到了直接砍掉，應該要BE，然後砍一半</t>
  </si>
  <si>
    <t>25906.72、25865.86</t>
  </si>
  <si>
    <t>47450.4、47335.29</t>
  </si>
  <si>
    <t>26015.96、25968.77</t>
  </si>
  <si>
    <t>2W03</t>
  </si>
  <si>
    <t>47698.27、47737.03</t>
  </si>
  <si>
    <t>支撐壓力畫錯，沒動能，主動砍掉的，因為沒動能又要22點了, 後來發現是美股換季</t>
  </si>
  <si>
    <t>26110.45、26155.77</t>
  </si>
  <si>
    <t>沒動能，砍掉後有到TP1跟TP2, 後來發現是美股換季</t>
  </si>
  <si>
    <t>46920.56、46875.46</t>
  </si>
  <si>
    <t>23點 JOLTs 新聞, Maybe 需要增加一條Rule, 沒畫到最近的支撐，所以曼巴賺錢我虧</t>
  </si>
  <si>
    <t>atr超爆大，DJ30就142....了</t>
  </si>
  <si>
    <t>23點 JOLTs 新聞, Maybe 需要增加一條Rule</t>
  </si>
  <si>
    <t>47082.83、47021.97</t>
  </si>
  <si>
    <t>25327.96、25266.46</t>
  </si>
  <si>
    <t>突破Candle走不到0.6 ATR，是否動能不足</t>
  </si>
  <si>
    <t>GBPNZD</t>
  </si>
  <si>
    <t>25504.59、25454.09</t>
  </si>
  <si>
    <t>47483.25、47585.27</t>
  </si>
  <si>
    <t>曼巴直接做空，不做突破，不知道為啥。(可能因為15min EMA碰到跟剛好支撐壓力位置)</t>
  </si>
  <si>
    <t>47150.85、47012.99</t>
  </si>
  <si>
    <t>到達LOST 5%，縮小一半手數</t>
  </si>
  <si>
    <t>24927.6、24828.76</t>
  </si>
  <si>
    <t>46710.87、46600.11</t>
  </si>
  <si>
    <t>2W04</t>
  </si>
  <si>
    <t>ATR小，回徹噴的成功率比較大?</t>
  </si>
  <si>
    <t>47343.91、47421.54</t>
  </si>
  <si>
    <t>Using Mamba TP，因為上個結構點太遠</t>
  </si>
  <si>
    <t>25553.82、25659.99</t>
  </si>
  <si>
    <r>
      <rPr>
        <rFont val="Times New Roman"/>
        <color theme="1"/>
        <sz val="12.0"/>
      </rPr>
      <t xml:space="preserve">還沒設TP就被打掉，沒動能，後來發現Major banks in the U.S are closed,  </t>
    </r>
    <r>
      <rPr>
        <rFont val="Times New Roman"/>
        <color rgb="FF1155CC"/>
        <sz val="12.0"/>
        <u/>
      </rPr>
      <t>https://www.forexfactory.com/#detail=140507</t>
    </r>
  </si>
  <si>
    <t>46896.87、46697.56</t>
  </si>
  <si>
    <t>GBPJPY</t>
  </si>
  <si>
    <t>ATR small</t>
  </si>
  <si>
    <t>ATR big，用單點突破 ok</t>
  </si>
  <si>
    <t>01W2</t>
  </si>
  <si>
    <t>跟隨曼巴第一天YA</t>
  </si>
  <si>
    <t>ATR big，沒找乾淨的support，要確認沒被"滿足過"的區域，支撐轉壓力1次而已</t>
  </si>
  <si>
    <t>25099.11、25161.81</t>
  </si>
  <si>
    <t>47223.74、47285.19</t>
  </si>
  <si>
    <t>atr small 回撤。Mamba沒進場，但我卻賺錢gd</t>
  </si>
  <si>
    <t>曼巴也虧錢，嚴格來說 這TP點位也是對的，碰到就回彈</t>
  </si>
  <si>
    <t>沒照著CHECKLIST先畫TP造成打到TP就回彈，所以虧損</t>
  </si>
  <si>
    <t>46427.26、46557.01</t>
  </si>
  <si>
    <t>曼巴也虧錢，沒照著結構點HLH畫支撐，照著結構應該不會虧錢，但我是照著曼巴的。</t>
  </si>
  <si>
    <t>GBPAUD</t>
  </si>
  <si>
    <t>25304.71、25445.10</t>
  </si>
  <si>
    <t>使用單突破+支撐SL第一天</t>
  </si>
  <si>
    <t>加入ATR跟RSI的第一天，看起來有成效</t>
  </si>
  <si>
    <t>ATR跟RSI成功，這筆Mamba沒做</t>
  </si>
  <si>
    <t>USDCAD</t>
  </si>
  <si>
    <t>ATR不夠就進場，建議進場前先比較開盤及未開盤的ATR數值</t>
  </si>
  <si>
    <t>更改FTMO host</t>
  </si>
  <si>
    <t>Mamba連虧，但我卻經過ATR跟RSI避免了市場假突破</t>
  </si>
  <si>
    <t>US30 ATR爆表增加6，但RSI沒到30，所以沒買，但好像其實可以買，買了的話有打到TP1。
NAS100這筆，條件都有滿足，但HOLD到11點，Close on BE，因為原則。後來有漲上去，代表我這策略ok。</t>
  </si>
  <si>
    <t>CADJPY</t>
  </si>
  <si>
    <t>畫錯支撐壓力，因開盤前的暴跌而且跟曼巴畫的一樣，所以劃錯。ATR大於5進場，沒問題，但主要是畫錯</t>
  </si>
  <si>
    <t>B</t>
  </si>
  <si>
    <t>B級 Setup，1:1 close</t>
  </si>
  <si>
    <t>TP1馬上Close，雖然很近</t>
  </si>
  <si>
    <t>C</t>
  </si>
  <si>
    <t>太快突破很強勁，不確定有沒有回撤</t>
  </si>
  <si>
    <t>A+</t>
  </si>
  <si>
    <t>差一點TP，不確定是不是因為JOB新聞，回撤BE，後面11.前 沒BE的話不會碰到SL，可以達到TP。</t>
  </si>
  <si>
    <t>看錯symbol，看成vantage symbols</t>
  </si>
  <si>
    <t>SL改成ATR數值第一天，HIT TP2</t>
  </si>
  <si>
    <t>試著發COPY Trade</t>
  </si>
  <si>
    <t>A</t>
  </si>
  <si>
    <t>雖然肉很少，但遵守策略TP，不然就被SL</t>
  </si>
  <si>
    <t>ATR &gt; 3</t>
  </si>
  <si>
    <t>ATR &gt; 5</t>
  </si>
  <si>
    <t>RSI 超買/超賣</t>
  </si>
  <si>
    <t>RSI &gt;50 or &lt;50</t>
  </si>
  <si>
    <t>尖尖回撤往上衝（V 型反轉）</t>
  </si>
  <si>
    <t>來不及Close，剛好一買就買到最低點，然後馬上反彈</t>
  </si>
  <si>
    <t>害怕了，沒有照著setup下對應的手數</t>
  </si>
  <si>
    <t>沒好setup，not trading，而且holiday week</t>
  </si>
  <si>
    <t>差一點TP，但有守住紀律，沒有提早砍單。A+ setup但沒tp，maybe因為聖誕周，
mamba都沒交易，有可能因為今天平安夜，提早關市。
可惜了，打掉我，馬上反轉到TP，但沒關係，都是市場。</t>
  </si>
  <si>
    <t>No Volume， Mamba say very bad weeek</t>
  </si>
  <si>
    <t>A setup 手數2倍</t>
  </si>
  <si>
    <t>沒有因為上一單損失而貪單</t>
  </si>
  <si>
    <t>看起來FOMC好像可以做? 試著做，是可以TP，且Mamba也有做</t>
  </si>
  <si>
    <t>來不及設BE，原本應該BE的。增加EA防止這種情況</t>
  </si>
  <si>
    <t>嚴格制定一天最多幾筆交易，因為避免情緒，BE也算。
老實說 如果有Volume就不會讓你連續失敗兩次了</t>
  </si>
  <si>
    <t>結構點畫錯</t>
  </si>
  <si>
    <t>一筆就該收了，因為流動性差的天，不管怎麼做都走不遠</t>
  </si>
  <si>
    <t>或許這支撐沒那麼好，但至少一天一筆 守住</t>
  </si>
  <si>
    <t>當SL風險更改，要記得EA也要同時改風險金額</t>
  </si>
  <si>
    <t>FTMO 10K 1step挑戰</t>
  </si>
  <si>
    <t>US100</t>
  </si>
  <si>
    <t>EA不知為啥自己設奇怪的SL，不然可以TP2</t>
  </si>
  <si>
    <t>完全copy Mamba, 這筆如果是原本的我不會做</t>
  </si>
  <si>
    <t>Mamba今天賺錢</t>
  </si>
  <si>
    <t>2026 Total Profit</t>
  </si>
  <si>
    <t>2026 Total R&amp;R</t>
  </si>
  <si>
    <t>2026 Fliter Profit</t>
  </si>
  <si>
    <t>2026 Fliter R&amp;R</t>
  </si>
  <si>
    <t>Consecutive Losses</t>
  </si>
  <si>
    <t>Current Losing Streak R</t>
  </si>
  <si>
    <t>最大連虧</t>
  </si>
  <si>
    <t>Rolling</t>
  </si>
  <si>
    <t>Rolling Win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</si>
</sst>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m/d"/>
    <numFmt numFmtId="166" formatCode="mm/dd"/>
  </numFmts>
  <fonts count="28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omic Sans MS"/>
    </font>
    <font>
      <color theme="1"/>
      <name val="Calibri"/>
      <scheme val="minor"/>
    </font>
    <font>
      <sz val="12.0"/>
      <color theme="1"/>
      <name val="Comic Sans MS"/>
    </font>
    <font>
      <color theme="1"/>
      <name val="Comic Sans MS"/>
    </font>
    <font>
      <sz val="12.0"/>
      <color theme="1"/>
      <name val="Times New Roman"/>
    </font>
    <font>
      <color theme="1"/>
      <name val="Calibri"/>
    </font>
    <font>
      <b/>
      <color rgb="FFFF0000"/>
      <name val="Calibri"/>
      <scheme val="minor"/>
    </font>
    <font>
      <sz val="12.0"/>
      <color theme="1"/>
      <name val="Calibri"/>
    </font>
    <font>
      <b/>
      <sz val="12.0"/>
      <color theme="1"/>
      <name val="Microsoft JhengHei"/>
    </font>
    <font/>
    <font>
      <b/>
      <sz val="17.0"/>
      <color theme="1"/>
      <name val="Microsoft JhengHei"/>
    </font>
    <font>
      <color theme="1"/>
      <name val="Microsoft JhengHei"/>
    </font>
    <font>
      <u/>
      <color rgb="FF0000FF"/>
    </font>
    <font>
      <sz val="12.0"/>
      <color theme="1"/>
      <name val="Microsoft JhengHei"/>
    </font>
    <font>
      <b/>
      <sz val="16.0"/>
      <color theme="1"/>
      <name val="Comic Sans MS"/>
    </font>
    <font>
      <b/>
      <color theme="1"/>
      <name val="Comic Sans MS"/>
    </font>
    <font>
      <b/>
      <i/>
      <sz val="24.0"/>
      <color rgb="FF7F6000"/>
      <name val="Calibri"/>
      <scheme val="minor"/>
    </font>
    <font>
      <b/>
      <i/>
      <sz val="50.0"/>
      <color theme="1"/>
      <name val="Comic Sans MS"/>
    </font>
    <font>
      <b/>
      <sz val="17.0"/>
      <color rgb="FFFF0000"/>
      <name val="Comic Sans MS"/>
    </font>
    <font>
      <sz val="12.0"/>
      <color rgb="FF9C0006"/>
      <name val="Times New Roman"/>
    </font>
    <font>
      <sz val="12.0"/>
      <color theme="1"/>
      <name val="MingLiu"/>
    </font>
    <font>
      <u/>
      <sz val="12.0"/>
      <color theme="1"/>
      <name val="Times New Roman"/>
    </font>
    <font>
      <sz val="12.0"/>
      <color theme="1"/>
      <name val="PMingLiu"/>
    </font>
    <font>
      <b/>
      <sz val="12.0"/>
      <color theme="1"/>
      <name val="Times New Roman"/>
    </font>
    <font>
      <b/>
      <sz val="36.0"/>
      <color theme="1"/>
      <name val="Calibri"/>
      <scheme val="minor"/>
    </font>
    <font>
      <b/>
      <sz val="100.0"/>
      <color rgb="FF00FF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FFC7CE"/>
        <bgColor rgb="FFFFC7CE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2" fillId="2" fontId="6" numFmtId="164" xfId="0" applyAlignment="1" applyBorder="1" applyFill="1" applyFont="1" applyNumberFormat="1">
      <alignment vertical="center"/>
    </xf>
    <xf borderId="0" fillId="0" fontId="7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0" fontId="3" numFmtId="4" xfId="0" applyAlignment="1" applyFont="1" applyNumberFormat="1">
      <alignment readingOrder="0" vertical="center"/>
    </xf>
    <xf borderId="1" fillId="0" fontId="6" numFmtId="0" xfId="0" applyAlignment="1" applyBorder="1" applyFont="1">
      <alignment readingOrder="0" vertical="center"/>
    </xf>
    <xf borderId="0" fillId="2" fontId="8" numFmtId="0" xfId="0" applyAlignment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2" fontId="8" numFmtId="0" xfId="0" applyAlignment="1" applyFont="1">
      <alignment vertical="center"/>
    </xf>
    <xf borderId="3" fillId="0" fontId="10" numFmtId="0" xfId="0" applyAlignment="1" applyBorder="1" applyFont="1">
      <alignment vertical="center"/>
    </xf>
    <xf borderId="3" fillId="0" fontId="10" numFmtId="0" xfId="0" applyAlignment="1" applyBorder="1" applyFont="1">
      <alignment readingOrder="0" vertical="center"/>
    </xf>
    <xf borderId="3" fillId="0" fontId="10" numFmtId="4" xfId="0" applyAlignment="1" applyBorder="1" applyFont="1" applyNumberFormat="1">
      <alignment readingOrder="0" vertical="center"/>
    </xf>
    <xf borderId="4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7" fillId="0" fontId="6" numFmtId="0" xfId="0" applyAlignment="1" applyBorder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0" fillId="0" fontId="13" numFmtId="0" xfId="0" applyAlignment="1" applyFont="1">
      <alignment readingOrder="0" vertical="center"/>
    </xf>
    <xf borderId="7" fillId="0" fontId="15" numFmtId="4" xfId="0" applyAlignment="1" applyBorder="1" applyFont="1" applyNumberFormat="1">
      <alignment readingOrder="0" vertical="center"/>
    </xf>
    <xf borderId="7" fillId="0" fontId="15" numFmtId="0" xfId="0" applyAlignment="1" applyBorder="1" applyFont="1">
      <alignment readingOrder="0" vertical="center"/>
    </xf>
    <xf borderId="7" fillId="0" fontId="15" numFmtId="165" xfId="0" applyAlignment="1" applyBorder="1" applyFont="1" applyNumberFormat="1">
      <alignment readingOrder="0" vertical="center"/>
    </xf>
    <xf borderId="7" fillId="0" fontId="15" numFmtId="20" xfId="0" applyAlignment="1" applyBorder="1" applyFont="1" applyNumberFormat="1">
      <alignment readingOrder="0" vertical="center"/>
    </xf>
    <xf borderId="1" fillId="0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8" fillId="0" fontId="11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15" numFmtId="4" xfId="0" applyAlignment="1" applyBorder="1" applyFont="1" applyNumberFormat="1">
      <alignment readingOrder="0" vertical="center"/>
    </xf>
    <xf borderId="1" fillId="0" fontId="15" numFmtId="165" xfId="0" applyAlignment="1" applyBorder="1" applyFont="1" applyNumberFormat="1">
      <alignment readingOrder="0" vertical="center"/>
    </xf>
    <xf borderId="1" fillId="0" fontId="15" numFmtId="20" xfId="0" applyAlignment="1" applyBorder="1" applyFont="1" applyNumberFormat="1">
      <alignment readingOrder="0" vertical="center"/>
    </xf>
    <xf borderId="1" fillId="0" fontId="15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10" fillId="0" fontId="6" numFmtId="0" xfId="0" applyAlignment="1" applyBorder="1" applyFont="1">
      <alignment horizontal="center" vertical="center"/>
    </xf>
    <xf borderId="1" fillId="0" fontId="6" numFmtId="4" xfId="0" applyAlignment="1" applyBorder="1" applyFont="1" applyNumberFormat="1">
      <alignment readingOrder="0" vertical="center"/>
    </xf>
    <xf borderId="1" fillId="0" fontId="6" numFmtId="20" xfId="0" applyAlignment="1" applyBorder="1" applyFont="1" applyNumberFormat="1">
      <alignment readingOrder="0" vertical="center"/>
    </xf>
    <xf borderId="0" fillId="0" fontId="16" numFmtId="0" xfId="0" applyAlignment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1" fillId="0" fontId="6" numFmtId="165" xfId="0" applyAlignment="1" applyBorder="1" applyFont="1" applyNumberFormat="1">
      <alignment readingOrder="0" vertical="center"/>
    </xf>
    <xf borderId="1" fillId="3" fontId="5" numFmtId="0" xfId="0" applyAlignment="1" applyBorder="1" applyFill="1" applyFont="1">
      <alignment readingOrder="0" vertical="center"/>
    </xf>
    <xf borderId="4" fillId="0" fontId="5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vertical="center"/>
    </xf>
    <xf borderId="4" fillId="0" fontId="16" numFmtId="0" xfId="0" applyAlignment="1" applyBorder="1" applyFont="1">
      <alignment horizontal="center" readingOrder="0" vertical="center"/>
    </xf>
    <xf borderId="1" fillId="0" fontId="6" numFmtId="4" xfId="0" applyAlignment="1" applyBorder="1" applyFont="1" applyNumberFormat="1">
      <alignment vertical="center"/>
    </xf>
    <xf borderId="12" fillId="4" fontId="18" numFmtId="0" xfId="0" applyAlignment="1" applyBorder="1" applyFill="1" applyFont="1">
      <alignment horizontal="center" readingOrder="0" vertical="center"/>
    </xf>
    <xf borderId="13" fillId="0" fontId="11" numFmtId="0" xfId="0" applyAlignment="1" applyBorder="1" applyFont="1">
      <alignment vertical="center"/>
    </xf>
    <xf borderId="0" fillId="5" fontId="19" numFmtId="0" xfId="0" applyAlignment="1" applyFill="1" applyFont="1">
      <alignment horizontal="center" vertical="center"/>
    </xf>
    <xf borderId="0" fillId="0" fontId="5" numFmtId="0" xfId="0" applyAlignment="1" applyFont="1">
      <alignment vertical="center"/>
    </xf>
    <xf borderId="14" fillId="0" fontId="11" numFmtId="0" xfId="0" applyAlignment="1" applyBorder="1" applyFont="1">
      <alignment vertical="center"/>
    </xf>
    <xf borderId="0" fillId="0" fontId="3" numFmtId="165" xfId="0" applyAlignment="1" applyFont="1" applyNumberFormat="1">
      <alignment readingOrder="0" vertical="center"/>
    </xf>
    <xf borderId="0" fillId="0" fontId="3" numFmtId="20" xfId="0" applyAlignment="1" applyFont="1" applyNumberFormat="1">
      <alignment readingOrder="0" vertical="center"/>
    </xf>
    <xf borderId="0" fillId="0" fontId="20" numFmtId="0" xfId="0" applyAlignment="1" applyFont="1">
      <alignment readingOrder="0" textRotation="0" vertical="center"/>
    </xf>
    <xf borderId="5" fillId="0" fontId="17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vertical="center"/>
    </xf>
    <xf borderId="11" fillId="0" fontId="5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readingOrder="0" vertical="center"/>
    </xf>
    <xf borderId="0" fillId="2" fontId="3" numFmtId="0" xfId="0" applyAlignment="1" applyFont="1">
      <alignment vertical="center"/>
    </xf>
    <xf borderId="1" fillId="2" fontId="6" numFmtId="0" xfId="0" applyAlignment="1" applyBorder="1" applyFont="1">
      <alignment vertical="center"/>
    </xf>
    <xf borderId="1" fillId="2" fontId="6" numFmtId="4" xfId="0" applyAlignment="1" applyBorder="1" applyFont="1" applyNumberFormat="1">
      <alignment vertical="center"/>
    </xf>
    <xf borderId="4" fillId="0" fontId="10" numFmtId="0" xfId="0" applyAlignment="1" applyBorder="1" applyFont="1">
      <alignment horizontal="center" vertical="center"/>
    </xf>
    <xf borderId="7" fillId="0" fontId="9" numFmtId="0" xfId="0" applyAlignment="1" applyBorder="1" applyFont="1">
      <alignment vertical="center"/>
    </xf>
    <xf borderId="7" fillId="0" fontId="6" numFmtId="0" xfId="0" applyAlignment="1" applyBorder="1" applyFont="1">
      <alignment horizontal="right" readingOrder="0" vertical="center"/>
    </xf>
    <xf borderId="7" fillId="6" fontId="6" numFmtId="0" xfId="0" applyAlignment="1" applyBorder="1" applyFill="1" applyFont="1">
      <alignment horizontal="right" readingOrder="0" vertical="center"/>
    </xf>
    <xf borderId="7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7" fillId="0" fontId="15" numFmtId="4" xfId="0" applyAlignment="1" applyBorder="1" applyFont="1" applyNumberFormat="1">
      <alignment horizontal="right" vertical="center"/>
    </xf>
    <xf borderId="7" fillId="0" fontId="15" numFmtId="165" xfId="0" applyAlignment="1" applyBorder="1" applyFont="1" applyNumberFormat="1">
      <alignment horizontal="right" readingOrder="0" vertical="center"/>
    </xf>
    <xf borderId="7" fillId="0" fontId="15" numFmtId="20" xfId="0" applyAlignment="1" applyBorder="1" applyFont="1" applyNumberFormat="1">
      <alignment horizontal="right" readingOrder="0" vertical="center"/>
    </xf>
    <xf borderId="1" fillId="0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7" fillId="0" fontId="15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center"/>
    </xf>
    <xf borderId="1" fillId="0" fontId="15" numFmtId="20" xfId="0" applyAlignment="1" applyBorder="1" applyFont="1" applyNumberFormat="1">
      <alignment horizontal="right" readingOrder="0" vertical="center"/>
    </xf>
    <xf borderId="1" fillId="6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1" fillId="0" fontId="15" numFmtId="0" xfId="0" applyAlignment="1" applyBorder="1" applyFont="1">
      <alignment horizontal="right" readingOrder="0" vertical="center"/>
    </xf>
    <xf borderId="1" fillId="0" fontId="15" numFmtId="4" xfId="0" applyAlignment="1" applyBorder="1" applyFont="1" applyNumberFormat="1">
      <alignment horizontal="right" vertical="center"/>
    </xf>
    <xf borderId="1" fillId="0" fontId="15" numFmtId="165" xfId="0" applyAlignment="1" applyBorder="1" applyFont="1" applyNumberFormat="1">
      <alignment horizontal="right" readingOrder="0" vertical="center"/>
    </xf>
    <xf borderId="0" fillId="0" fontId="9" numFmtId="0" xfId="0" applyAlignment="1" applyFont="1">
      <alignment vertical="center"/>
    </xf>
    <xf borderId="1" fillId="0" fontId="15" numFmtId="4" xfId="0" applyAlignment="1" applyBorder="1" applyFont="1" applyNumberFormat="1">
      <alignment horizontal="right" readingOrder="0" vertical="center"/>
    </xf>
    <xf borderId="1" fillId="0" fontId="6" numFmtId="0" xfId="0" applyAlignment="1" applyBorder="1" applyFont="1">
      <alignment horizontal="right" readingOrder="0" vertical="center"/>
    </xf>
    <xf borderId="1" fillId="0" fontId="6" numFmtId="20" xfId="0" applyAlignment="1" applyBorder="1" applyFont="1" applyNumberFormat="1">
      <alignment horizontal="right" readingOrder="0" vertical="center"/>
    </xf>
    <xf borderId="0" fillId="0" fontId="3" numFmtId="4" xfId="0" applyAlignment="1" applyFont="1" applyNumberFormat="1">
      <alignment vertical="center"/>
    </xf>
    <xf borderId="7" fillId="0" fontId="15" numFmtId="4" xfId="0" applyAlignment="1" applyBorder="1" applyFont="1" applyNumberFormat="1">
      <alignment horizontal="right" readingOrder="0" vertical="center"/>
    </xf>
    <xf borderId="7" fillId="0" fontId="15" numFmtId="0" xfId="0" applyAlignment="1" applyBorder="1" applyFont="1">
      <alignment vertical="center"/>
    </xf>
    <xf borderId="3" fillId="0" fontId="6" numFmtId="0" xfId="0" applyAlignment="1" applyBorder="1" applyFont="1">
      <alignment readingOrder="0" vertical="center"/>
    </xf>
    <xf borderId="3" fillId="0" fontId="6" numFmtId="4" xfId="0" applyAlignment="1" applyBorder="1" applyFont="1" applyNumberFormat="1">
      <alignment readingOrder="0" vertical="center"/>
    </xf>
    <xf borderId="3" fillId="0" fontId="6" numFmtId="165" xfId="0" applyAlignment="1" applyBorder="1" applyFont="1" applyNumberFormat="1">
      <alignment readingOrder="0" vertical="center"/>
    </xf>
    <xf borderId="3" fillId="0" fontId="6" numFmtId="20" xfId="0" applyAlignment="1" applyBorder="1" applyFont="1" applyNumberFormat="1">
      <alignment readingOrder="0" vertical="center"/>
    </xf>
    <xf borderId="15" fillId="0" fontId="6" numFmtId="0" xfId="0" applyAlignment="1" applyBorder="1" applyFont="1">
      <alignment horizontal="center" vertical="center"/>
    </xf>
    <xf borderId="7" fillId="0" fontId="6" numFmtId="4" xfId="0" applyAlignment="1" applyBorder="1" applyFont="1" applyNumberFormat="1">
      <alignment readingOrder="0" vertical="center"/>
    </xf>
    <xf borderId="7" fillId="0" fontId="6" numFmtId="20" xfId="0" applyAlignment="1" applyBorder="1" applyFont="1" applyNumberFormat="1">
      <alignment readingOrder="0" vertical="center"/>
    </xf>
    <xf borderId="7" fillId="7" fontId="21" numFmtId="0" xfId="0" applyAlignment="1" applyBorder="1" applyFill="1" applyFont="1">
      <alignment horizontal="right" readingOrder="0" vertical="center"/>
    </xf>
    <xf borderId="0" fillId="0" fontId="9" numFmtId="0" xfId="0" applyAlignment="1" applyFont="1">
      <alignment horizontal="right" readingOrder="0" vertical="center"/>
    </xf>
    <xf borderId="7" fillId="0" fontId="9" numFmtId="4" xfId="0" applyAlignment="1" applyBorder="1" applyFont="1" applyNumberFormat="1">
      <alignment vertical="center"/>
    </xf>
    <xf borderId="1" fillId="0" fontId="22" numFmtId="0" xfId="0" applyAlignment="1" applyBorder="1" applyFont="1">
      <alignment vertical="center"/>
    </xf>
    <xf borderId="7" fillId="0" fontId="11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3" fillId="0" fontId="6" numFmtId="4" xfId="0" applyAlignment="1" applyBorder="1" applyFont="1" applyNumberFormat="1">
      <alignment vertical="center"/>
    </xf>
    <xf borderId="1" fillId="0" fontId="9" numFmtId="4" xfId="0" applyAlignment="1" applyBorder="1" applyFont="1" applyNumberFormat="1">
      <alignment readingOrder="0" vertical="center"/>
    </xf>
    <xf borderId="16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7" fillId="0" fontId="6" numFmtId="0" xfId="0" applyAlignment="1" applyBorder="1" applyFont="1">
      <alignment readingOrder="0" vertical="center"/>
    </xf>
    <xf borderId="7" fillId="0" fontId="6" numFmtId="165" xfId="0" applyAlignment="1" applyBorder="1" applyFont="1" applyNumberFormat="1">
      <alignment readingOrder="0" vertical="center"/>
    </xf>
    <xf borderId="10" fillId="0" fontId="11" numFmtId="0" xfId="0" applyAlignment="1" applyBorder="1" applyFont="1">
      <alignment vertical="center"/>
    </xf>
    <xf borderId="1" fillId="0" fontId="9" numFmtId="4" xfId="0" applyAlignment="1" applyBorder="1" applyFont="1" applyNumberFormat="1">
      <alignment vertical="center"/>
    </xf>
    <xf borderId="1" fillId="0" fontId="6" numFmtId="165" xfId="0" applyAlignment="1" applyBorder="1" applyFont="1" applyNumberFormat="1">
      <alignment horizontal="right" readingOrder="0" vertical="center"/>
    </xf>
    <xf borderId="1" fillId="0" fontId="9" numFmtId="20" xfId="0" applyAlignment="1" applyBorder="1" applyFont="1" applyNumberFormat="1">
      <alignment readingOrder="0" vertical="center"/>
    </xf>
    <xf borderId="1" fillId="0" fontId="22" numFmtId="165" xfId="0" applyAlignment="1" applyBorder="1" applyFont="1" applyNumberFormat="1">
      <alignment readingOrder="0" vertical="center"/>
    </xf>
    <xf borderId="1" fillId="0" fontId="22" numFmtId="20" xfId="0" applyAlignment="1" applyBorder="1" applyFont="1" applyNumberFormat="1">
      <alignment readingOrder="0" vertical="center"/>
    </xf>
    <xf borderId="18" fillId="0" fontId="11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9" numFmtId="4" xfId="0" applyAlignment="1" applyBorder="1" applyFont="1" applyNumberFormat="1">
      <alignment readingOrder="0" vertical="center"/>
    </xf>
    <xf borderId="6" fillId="0" fontId="6" numFmtId="0" xfId="0" applyAlignment="1" applyBorder="1" applyFont="1">
      <alignment readingOrder="0" vertical="center"/>
    </xf>
    <xf borderId="6" fillId="0" fontId="6" numFmtId="4" xfId="0" applyAlignment="1" applyBorder="1" applyFont="1" applyNumberFormat="1">
      <alignment readingOrder="0" vertical="center"/>
    </xf>
    <xf borderId="6" fillId="0" fontId="6" numFmtId="165" xfId="0" applyAlignment="1" applyBorder="1" applyFont="1" applyNumberFormat="1">
      <alignment readingOrder="0" vertical="center"/>
    </xf>
    <xf borderId="6" fillId="0" fontId="6" numFmtId="20" xfId="0" applyAlignment="1" applyBorder="1" applyFont="1" applyNumberFormat="1">
      <alignment readingOrder="0" vertical="center"/>
    </xf>
    <xf borderId="3" fillId="0" fontId="6" numFmtId="166" xfId="0" applyAlignment="1" applyBorder="1" applyFont="1" applyNumberFormat="1">
      <alignment readingOrder="0" vertical="center"/>
    </xf>
    <xf borderId="3" fillId="0" fontId="23" numFmtId="0" xfId="0" applyAlignment="1" applyBorder="1" applyFont="1">
      <alignment readingOrder="0" vertical="center"/>
    </xf>
    <xf borderId="0" fillId="0" fontId="24" numFmtId="0" xfId="0" applyAlignment="1" applyFont="1">
      <alignment vertical="center"/>
    </xf>
    <xf borderId="1" fillId="0" fontId="6" numFmtId="46" xfId="0" applyAlignment="1" applyBorder="1" applyFont="1" applyNumberFormat="1">
      <alignment readingOrder="0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4" xfId="0" applyAlignment="1" applyBorder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19" fillId="0" fontId="24" numFmtId="0" xfId="0" applyAlignment="1" applyBorder="1" applyFont="1">
      <alignment vertical="center"/>
    </xf>
    <xf borderId="20" fillId="0" fontId="10" numFmtId="0" xfId="0" applyAlignment="1" applyBorder="1" applyFont="1">
      <alignment horizontal="center" vertical="center"/>
    </xf>
    <xf borderId="21" fillId="0" fontId="11" numFmtId="0" xfId="0" applyAlignment="1" applyBorder="1" applyFont="1">
      <alignment vertical="center"/>
    </xf>
    <xf borderId="6" fillId="2" fontId="25" numFmtId="0" xfId="0" applyAlignment="1" applyBorder="1" applyFont="1">
      <alignment readingOrder="0" vertical="center"/>
    </xf>
    <xf borderId="1" fillId="0" fontId="26" numFmtId="0" xfId="0" applyAlignment="1" applyBorder="1" applyFont="1">
      <alignment vertical="center"/>
    </xf>
    <xf borderId="0" fillId="0" fontId="27" numFmtId="0" xfId="0" applyAlignment="1" applyFont="1">
      <alignment horizontal="center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B050"/>
          <bgColor rgb="FF00B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2026_Perform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縱軸：2026 Total Profict，橫軸：Times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'2026_Performance'!$B$1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'2026_Performance'!$A$2:$A$122</c:f>
            </c:strRef>
          </c:cat>
          <c:val>
            <c:numRef>
              <c:f>'2026_Performance'!$B$2:$B$122</c:f>
              <c:numCache/>
            </c:numRef>
          </c:val>
          <c:smooth val="0"/>
        </c:ser>
        <c:axId val="1601588913"/>
        <c:axId val="615604365"/>
      </c:lineChart>
      <c:catAx>
        <c:axId val="1601588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604365"/>
      </c:catAx>
      <c:valAx>
        <c:axId val="615604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2026 Total Profict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588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縱軸：2026 Total R&amp;R，橫軸：交易次數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'2026_Performance'!$C$1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'2026_Performance'!$A$2:$A$122</c:f>
            </c:strRef>
          </c:cat>
          <c:val>
            <c:numRef>
              <c:f>'2026_Performance'!$C$2:$C$122</c:f>
              <c:numCache/>
            </c:numRef>
          </c:val>
          <c:smooth val="0"/>
        </c:ser>
        <c:axId val="776490594"/>
        <c:axId val="494664429"/>
      </c:lineChart>
      <c:catAx>
        <c:axId val="776490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交易次數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664429"/>
      </c:catAx>
      <c:valAx>
        <c:axId val="494664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2026 Total R&amp;R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490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Rolling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'2026_Performance'!$L$1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'2026_Performance'!$L$2:$L$69</c:f>
              <c:numCache/>
            </c:numRef>
          </c:val>
          <c:smooth val="0"/>
        </c:ser>
        <c:axId val="1097394452"/>
        <c:axId val="571120254"/>
      </c:lineChart>
      <c:catAx>
        <c:axId val="1097394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120254"/>
      </c:catAx>
      <c:valAx>
        <c:axId val="571120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Rolling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394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'2026_Performance'!$M$1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'2026_Performance'!$M$2:$M$50500</c:f>
              <c:numCache/>
            </c:numRef>
          </c:val>
          <c:smooth val="0"/>
        </c:ser>
        <c:axId val="1304298140"/>
        <c:axId val="915746174"/>
      </c:lineChart>
      <c:catAx>
        <c:axId val="1304298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746174"/>
      </c:catAx>
      <c:valAx>
        <c:axId val="915746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298140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縱軸：2026 Total Profict，橫軸：Times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Total_Performance!$B$1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Total_Performance!$A$2:$A$161</c:f>
            </c:strRef>
          </c:cat>
          <c:val>
            <c:numRef>
              <c:f>Total_Performance!$B$2:$B$161</c:f>
              <c:numCache/>
            </c:numRef>
          </c:val>
          <c:smooth val="0"/>
        </c:ser>
        <c:axId val="782685147"/>
        <c:axId val="1290472185"/>
      </c:lineChart>
      <c:catAx>
        <c:axId val="782685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472185"/>
      </c:catAx>
      <c:valAx>
        <c:axId val="1290472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2026 Total Profict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685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縱軸：2026 Total R&amp;R，橫軸：交易次數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Total_Performance!$C$1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Total_Performance!$A$2:$A$122</c:f>
            </c:strRef>
          </c:cat>
          <c:val>
            <c:numRef>
              <c:f>Total_Performance!$C$2:$C$66</c:f>
              <c:numCache/>
            </c:numRef>
          </c:val>
          <c:smooth val="0"/>
        </c:ser>
        <c:axId val="1898894369"/>
        <c:axId val="447634508"/>
      </c:lineChart>
      <c:catAx>
        <c:axId val="1898894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交易次數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634508"/>
      </c:catAx>
      <c:valAx>
        <c:axId val="447634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2026 Total R&amp;R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894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323850</xdr:colOff>
      <xdr:row>1</xdr:row>
      <xdr:rowOff>95250</xdr:rowOff>
    </xdr:from>
    <xdr:ext cx="5715000" cy="3533775"/>
    <xdr:graphicFrame>
      <xdr:nvGraphicFramePr>
        <xdr:cNvPr id="310296234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400050</xdr:colOff>
      <xdr:row>14</xdr:row>
      <xdr:rowOff>9525</xdr:rowOff>
    </xdr:from>
    <xdr:ext cx="5715000" cy="3533775"/>
    <xdr:graphicFrame>
      <xdr:nvGraphicFramePr>
        <xdr:cNvPr id="1253767604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800100</xdr:colOff>
      <xdr:row>5</xdr:row>
      <xdr:rowOff>171450</xdr:rowOff>
    </xdr:from>
    <xdr:ext cx="6705600" cy="3533775"/>
    <xdr:graphicFrame>
      <xdr:nvGraphicFramePr>
        <xdr:cNvPr id="57591618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800100</xdr:colOff>
      <xdr:row>18</xdr:row>
      <xdr:rowOff>161925</xdr:rowOff>
    </xdr:from>
    <xdr:ext cx="6705600" cy="4152900"/>
    <xdr:graphicFrame>
      <xdr:nvGraphicFramePr>
        <xdr:cNvPr id="169850101" name="Chart 6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2466975</xdr:colOff>
      <xdr:row>216</xdr:row>
      <xdr:rowOff>133350</xdr:rowOff>
    </xdr:from>
    <xdr:ext cx="4876800" cy="44100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314325</xdr:colOff>
      <xdr:row>0</xdr:row>
      <xdr:rowOff>123825</xdr:rowOff>
    </xdr:from>
    <xdr:ext cx="5715000" cy="3533775"/>
    <xdr:graphicFrame>
      <xdr:nvGraphicFramePr>
        <xdr:cNvPr id="689370436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314325</xdr:colOff>
      <xdr:row>20</xdr:row>
      <xdr:rowOff>161925</xdr:rowOff>
    </xdr:from>
    <xdr:ext cx="5715000" cy="3533775"/>
    <xdr:graphicFrame>
      <xdr:nvGraphicFramePr>
        <xdr:cNvPr id="713743550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45" displayName="表_1" name="表_1" id="1">
  <tableColumns count="13">
    <tableColumn name="交易次數" id="1"/>
    <tableColumn name="2026 Total Profit" id="2"/>
    <tableColumn name="2026 Total R&amp;R" id="3"/>
    <tableColumn name="2026 Fliter Profit" id="4"/>
    <tableColumn name="2026 Fliter R&amp;R" id="5"/>
    <tableColumn name="Peak" id="6"/>
    <tableColumn name="Drawdown" id="7"/>
    <tableColumn name="MAX DD" id="8"/>
    <tableColumn name="Consecutive Losses" id="9"/>
    <tableColumn name="Current Losing Streak R" id="10"/>
    <tableColumn name="最大連虧" id="11"/>
    <tableColumn name="Rolling" id="12"/>
    <tableColumn name="Rolling Win Rate" id="13"/>
  </tableColumns>
  <tableStyleInfo name="2026_Perform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exfactory.com/calendar?day=dec31.2025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exfactory.com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12.78"/>
    <col customWidth="1" min="3" max="3" width="11.22"/>
    <col customWidth="1" min="4" max="5" width="6.89"/>
    <col customWidth="1" min="6" max="6" width="10.0"/>
    <col customWidth="1" min="7" max="7" width="12.0"/>
    <col customWidth="1" min="8" max="8" width="8.11"/>
    <col customWidth="1" min="9" max="9" width="8.78"/>
    <col customWidth="1" min="10" max="10" width="7.67"/>
    <col customWidth="1" min="11" max="12" width="8.56"/>
    <col customWidth="1" min="13" max="13" width="17.89"/>
    <col customWidth="1" min="14" max="15" width="7.22"/>
    <col customWidth="1" min="16" max="16" width="68.89"/>
    <col customWidth="1" min="17" max="32" width="6.78"/>
  </cols>
  <sheetData>
    <row r="1" ht="15.75" customHeight="1">
      <c r="A1" s="8">
        <f>TODAY()</f>
        <v>46226</v>
      </c>
      <c r="B1" s="9" t="s">
        <v>18</v>
      </c>
      <c r="C1" s="9" t="str">
        <f>D5</f>
        <v/>
      </c>
      <c r="D1" s="9" t="s">
        <v>23</v>
      </c>
      <c r="E1" s="9">
        <v>50.0</v>
      </c>
      <c r="F1" s="3" t="s">
        <v>26</v>
      </c>
      <c r="G1" s="3">
        <v>48.0</v>
      </c>
      <c r="K1" s="3" t="s">
        <v>2</v>
      </c>
      <c r="L1" s="12" t="s">
        <v>28</v>
      </c>
      <c r="N1" s="3" t="s">
        <v>31</v>
      </c>
    </row>
    <row r="2" ht="15.75" customHeight="1">
      <c r="A2" s="15">
        <f>SUM(H:H)</f>
        <v>-1237.62</v>
      </c>
      <c r="B2" s="16" t="s">
        <v>36</v>
      </c>
      <c r="C2" s="9"/>
      <c r="D2" s="9" t="s">
        <v>37</v>
      </c>
      <c r="E2" s="9">
        <v>0.5</v>
      </c>
      <c r="H2" s="3" t="s">
        <v>38</v>
      </c>
      <c r="I2" s="3" t="s">
        <v>39</v>
      </c>
      <c r="L2" s="12" t="s">
        <v>40</v>
      </c>
      <c r="N2" s="3" t="s">
        <v>41</v>
      </c>
    </row>
    <row r="3" ht="15.75" customHeight="1">
      <c r="A3" s="15">
        <f>SUM(G:G)-G1</f>
        <v>24.15563909</v>
      </c>
      <c r="B3" s="3" t="s">
        <v>42</v>
      </c>
      <c r="C3" s="7">
        <f>COUNTIF($H:$H,"&gt;0") / COUNT($H:$H)</f>
        <v>0.4413793103</v>
      </c>
      <c r="D3" s="7">
        <f>COUNT($H:$H)</f>
        <v>145</v>
      </c>
      <c r="H3" s="3">
        <v>1.0</v>
      </c>
      <c r="I3" s="3">
        <v>50.0</v>
      </c>
      <c r="J3" s="7">
        <f>H3*I3*G1</f>
        <v>2400</v>
      </c>
      <c r="L3" s="12">
        <f>20/7.5</f>
        <v>2.666666667</v>
      </c>
      <c r="M3" s="7">
        <f>J3/210</f>
        <v>11.42857143</v>
      </c>
      <c r="N3" s="7">
        <f>200000*0.01</f>
        <v>2000</v>
      </c>
    </row>
    <row r="4" ht="15.75" customHeight="1">
      <c r="D4" s="18" t="s">
        <v>43</v>
      </c>
      <c r="E4" s="18" t="s">
        <v>44</v>
      </c>
      <c r="F4" s="19" t="s">
        <v>45</v>
      </c>
      <c r="G4" s="19" t="s">
        <v>46</v>
      </c>
      <c r="H4" s="18" t="s">
        <v>47</v>
      </c>
      <c r="I4" s="18" t="s">
        <v>48</v>
      </c>
      <c r="J4" s="19" t="s">
        <v>49</v>
      </c>
      <c r="K4" s="19"/>
      <c r="L4" s="20" t="s">
        <v>50</v>
      </c>
      <c r="M4" s="19" t="s">
        <v>51</v>
      </c>
      <c r="N4" s="19" t="s">
        <v>52</v>
      </c>
      <c r="O4" s="19" t="s">
        <v>53</v>
      </c>
      <c r="P4" s="18" t="s">
        <v>54</v>
      </c>
    </row>
    <row r="5" ht="15.75" customHeight="1">
      <c r="A5" s="21" t="s">
        <v>55</v>
      </c>
      <c r="B5" s="22"/>
      <c r="C5" s="23">
        <f>SUM(H5:H15)</f>
        <v>130.91</v>
      </c>
      <c r="D5" s="24"/>
      <c r="E5" s="25">
        <v>1.4</v>
      </c>
      <c r="F5" s="25">
        <f t="shared" ref="F5:F14" si="1"> ABS(L5-K5)</f>
        <v>40.16</v>
      </c>
      <c r="G5" s="25">
        <f t="shared" ref="G5:G15" si="2">H5 / ( ABS(L5-K5) * E5)</f>
        <v>3.159860558</v>
      </c>
      <c r="H5" s="25">
        <v>177.66</v>
      </c>
      <c r="I5" s="25" t="s">
        <v>59</v>
      </c>
      <c r="J5" s="29" t="s">
        <v>60</v>
      </c>
      <c r="K5" s="29">
        <v>48595.55</v>
      </c>
      <c r="L5" s="31">
        <v>48555.39</v>
      </c>
      <c r="M5" s="32">
        <v>48712.97</v>
      </c>
      <c r="N5" s="33">
        <v>46027.0</v>
      </c>
      <c r="O5" s="34">
        <v>0.9380439814814815</v>
      </c>
      <c r="P5" s="32" t="s">
        <v>69</v>
      </c>
    </row>
    <row r="6" ht="15.75" customHeight="1">
      <c r="A6" s="35" t="s">
        <v>73</v>
      </c>
      <c r="B6" s="36">
        <v>150.0</v>
      </c>
      <c r="C6" s="37"/>
      <c r="D6" s="38"/>
      <c r="E6" s="25">
        <v>1.4</v>
      </c>
      <c r="F6" s="25">
        <f t="shared" si="1"/>
        <v>34.3</v>
      </c>
      <c r="G6" s="25">
        <f t="shared" si="2"/>
        <v>-1</v>
      </c>
      <c r="H6" s="13">
        <v>-48.02</v>
      </c>
      <c r="I6" s="13" t="s">
        <v>59</v>
      </c>
      <c r="J6" s="32" t="s">
        <v>22</v>
      </c>
      <c r="K6" s="29">
        <v>25502.05</v>
      </c>
      <c r="L6" s="39">
        <v>25467.75</v>
      </c>
      <c r="M6" s="29"/>
      <c r="N6" s="40">
        <v>46028.0</v>
      </c>
      <c r="O6" s="41">
        <v>0.9381944444444444</v>
      </c>
      <c r="P6" s="42"/>
      <c r="Q6" s="9"/>
    </row>
    <row r="7" ht="15.75" customHeight="1">
      <c r="A7" s="35" t="s">
        <v>112</v>
      </c>
      <c r="B7" s="15">
        <f>C5-B6</f>
        <v>-19.09</v>
      </c>
      <c r="C7" s="37"/>
      <c r="D7" s="38"/>
      <c r="E7" s="25">
        <v>1.4</v>
      </c>
      <c r="F7" s="25">
        <f t="shared" si="1"/>
        <v>35.1</v>
      </c>
      <c r="G7" s="25">
        <f t="shared" si="2"/>
        <v>-1</v>
      </c>
      <c r="H7" s="25">
        <v>-49.14</v>
      </c>
      <c r="I7" s="25" t="s">
        <v>59</v>
      </c>
      <c r="J7" s="29" t="s">
        <v>60</v>
      </c>
      <c r="K7" s="31">
        <v>49028.55</v>
      </c>
      <c r="L7" s="3">
        <v>48993.45</v>
      </c>
      <c r="M7" s="32"/>
      <c r="N7" s="40">
        <v>46028.0</v>
      </c>
      <c r="O7" s="34">
        <v>0.9388888888888889</v>
      </c>
      <c r="P7" s="42"/>
      <c r="Q7" s="9"/>
    </row>
    <row r="8" ht="15.75" customHeight="1">
      <c r="C8" s="43"/>
      <c r="D8" s="38"/>
      <c r="E8" s="25">
        <v>1.4</v>
      </c>
      <c r="F8" s="25">
        <f t="shared" si="1"/>
        <v>31.3</v>
      </c>
      <c r="G8" s="25">
        <f t="shared" si="2"/>
        <v>-1</v>
      </c>
      <c r="H8" s="13">
        <v>-43.82</v>
      </c>
      <c r="I8" s="13" t="s">
        <v>59</v>
      </c>
      <c r="J8" s="32" t="s">
        <v>22</v>
      </c>
      <c r="K8" s="29">
        <v>25490.8</v>
      </c>
      <c r="L8" s="39">
        <v>25459.5</v>
      </c>
      <c r="M8" s="29"/>
      <c r="N8" s="40">
        <v>46028.0</v>
      </c>
      <c r="O8" s="41">
        <v>0.9416666666666667</v>
      </c>
      <c r="P8" s="13" t="s">
        <v>188</v>
      </c>
      <c r="Q8" s="9"/>
    </row>
    <row r="9" ht="15.75" customHeight="1">
      <c r="B9" s="3" t="s">
        <v>46</v>
      </c>
      <c r="C9" s="44">
        <f>SUM(G5:G15)</f>
        <v>2.082075205</v>
      </c>
      <c r="D9" s="38"/>
      <c r="E9" s="25">
        <v>1.4</v>
      </c>
      <c r="F9" s="25">
        <f t="shared" si="1"/>
        <v>20.45</v>
      </c>
      <c r="G9" s="25">
        <f t="shared" si="2"/>
        <v>-1</v>
      </c>
      <c r="H9" s="13">
        <v>-28.63</v>
      </c>
      <c r="I9" s="13"/>
      <c r="J9" s="13" t="s">
        <v>60</v>
      </c>
      <c r="K9" s="13">
        <v>49082.55</v>
      </c>
      <c r="L9" s="45">
        <v>49062.1</v>
      </c>
      <c r="M9" s="38"/>
      <c r="N9" s="40">
        <v>46028.0</v>
      </c>
      <c r="O9" s="46">
        <v>0.9444444444444444</v>
      </c>
      <c r="P9" s="13" t="s">
        <v>232</v>
      </c>
    </row>
    <row r="10" ht="15.75" customHeight="1">
      <c r="D10" s="38"/>
      <c r="E10" s="25">
        <v>1.4</v>
      </c>
      <c r="F10" s="25">
        <f t="shared" si="1"/>
        <v>27.2</v>
      </c>
      <c r="G10" s="25">
        <f t="shared" si="2"/>
        <v>1</v>
      </c>
      <c r="H10" s="13">
        <v>38.08</v>
      </c>
      <c r="I10" s="13"/>
      <c r="J10" s="13" t="s">
        <v>22</v>
      </c>
      <c r="K10" s="13">
        <v>25500.3</v>
      </c>
      <c r="L10" s="45">
        <v>25527.5</v>
      </c>
      <c r="M10" s="38"/>
      <c r="N10" s="40">
        <v>46028.0</v>
      </c>
      <c r="O10" s="46">
        <v>0.9472222222222222</v>
      </c>
      <c r="P10" s="13" t="s">
        <v>188</v>
      </c>
    </row>
    <row r="11" ht="15.75" customHeight="1">
      <c r="D11" s="38"/>
      <c r="E11" s="25">
        <v>1.4</v>
      </c>
      <c r="F11" s="25">
        <f t="shared" si="1"/>
        <v>46.1</v>
      </c>
      <c r="G11" s="25">
        <f t="shared" si="2"/>
        <v>-0.9996901147</v>
      </c>
      <c r="H11" s="13">
        <v>-64.52</v>
      </c>
      <c r="I11" s="13"/>
      <c r="J11" s="13" t="s">
        <v>60</v>
      </c>
      <c r="K11" s="13">
        <v>49083.55</v>
      </c>
      <c r="L11" s="45">
        <v>49037.45</v>
      </c>
      <c r="M11" s="38"/>
      <c r="N11" s="40">
        <v>46028.0</v>
      </c>
      <c r="O11" s="46">
        <v>0.9506944444444444</v>
      </c>
      <c r="P11" s="13" t="s">
        <v>285</v>
      </c>
    </row>
    <row r="12" ht="15.75" customHeight="1">
      <c r="D12" s="38"/>
      <c r="E12" s="25">
        <v>1.4</v>
      </c>
      <c r="F12" s="25">
        <f t="shared" si="1"/>
        <v>21</v>
      </c>
      <c r="G12" s="25">
        <f t="shared" si="2"/>
        <v>-0.5761904762</v>
      </c>
      <c r="H12" s="13">
        <v>-16.94</v>
      </c>
      <c r="I12" s="13" t="s">
        <v>59</v>
      </c>
      <c r="J12" s="13" t="s">
        <v>60</v>
      </c>
      <c r="K12" s="13">
        <v>49543.45</v>
      </c>
      <c r="L12" s="45">
        <f>K12+21</f>
        <v>49564.45</v>
      </c>
      <c r="M12" s="38"/>
      <c r="N12" s="50">
        <v>46029.0</v>
      </c>
      <c r="O12" s="46">
        <v>0.9388888888888889</v>
      </c>
      <c r="P12" s="38"/>
    </row>
    <row r="13" ht="15.75" customHeight="1">
      <c r="D13" s="38"/>
      <c r="E13" s="25">
        <v>1.4</v>
      </c>
      <c r="F13" s="25">
        <f t="shared" si="1"/>
        <v>21</v>
      </c>
      <c r="G13" s="25">
        <f t="shared" si="2"/>
        <v>0.1380952381</v>
      </c>
      <c r="H13" s="13">
        <v>4.06</v>
      </c>
      <c r="I13" s="13" t="s">
        <v>59</v>
      </c>
      <c r="J13" s="13" t="s">
        <v>60</v>
      </c>
      <c r="K13" s="13">
        <v>49545.45</v>
      </c>
      <c r="L13" s="7">
        <f>K13-21</f>
        <v>49524.45</v>
      </c>
      <c r="M13" s="45">
        <v>49542.55</v>
      </c>
      <c r="N13" s="50">
        <v>46029.0</v>
      </c>
      <c r="O13" s="46">
        <v>0.9423611111111111</v>
      </c>
      <c r="P13" s="38"/>
    </row>
    <row r="14" ht="15.75" customHeight="1">
      <c r="D14" s="38"/>
      <c r="E14" s="25">
        <v>1.4</v>
      </c>
      <c r="F14" s="25">
        <f t="shared" si="1"/>
        <v>15</v>
      </c>
      <c r="G14" s="25">
        <f t="shared" si="2"/>
        <v>1.663333333</v>
      </c>
      <c r="H14" s="13">
        <v>34.93</v>
      </c>
      <c r="I14" s="13" t="s">
        <v>59</v>
      </c>
      <c r="J14" s="13" t="s">
        <v>22</v>
      </c>
      <c r="K14" s="13">
        <v>25669.4</v>
      </c>
      <c r="L14" s="55">
        <f>K14+15</f>
        <v>25684.4</v>
      </c>
      <c r="M14" s="13">
        <v>25694.35</v>
      </c>
      <c r="N14" s="50">
        <v>46029.0</v>
      </c>
      <c r="O14" s="46">
        <v>0.94375</v>
      </c>
      <c r="P14" s="38"/>
    </row>
    <row r="15" ht="15.75" customHeight="1">
      <c r="D15" s="38"/>
      <c r="E15" s="25">
        <v>2.5</v>
      </c>
      <c r="F15" s="25">
        <v>30.0</v>
      </c>
      <c r="G15" s="25">
        <f t="shared" si="2"/>
        <v>1.696666667</v>
      </c>
      <c r="H15" s="13">
        <v>127.25</v>
      </c>
      <c r="I15" s="13" t="s">
        <v>59</v>
      </c>
      <c r="J15" s="13" t="s">
        <v>60</v>
      </c>
      <c r="K15" s="13">
        <v>48919.55</v>
      </c>
      <c r="L15" s="55">
        <f>K15-30</f>
        <v>48889.55</v>
      </c>
      <c r="M15" s="13">
        <v>48970.45</v>
      </c>
      <c r="N15" s="50">
        <v>46030.0</v>
      </c>
      <c r="O15" s="46">
        <v>0.9381944444444444</v>
      </c>
      <c r="P15" s="38"/>
    </row>
    <row r="16" ht="15.75" customHeight="1">
      <c r="D16" s="38"/>
      <c r="E16" s="38"/>
      <c r="F16" s="38"/>
      <c r="G16" s="38"/>
      <c r="H16" s="38"/>
      <c r="I16" s="38"/>
      <c r="J16" s="38"/>
      <c r="K16" s="38"/>
      <c r="L16" s="55"/>
      <c r="M16" s="38"/>
      <c r="N16" s="38"/>
      <c r="O16" s="38"/>
      <c r="P16" s="38"/>
    </row>
    <row r="17" ht="15.75" customHeight="1">
      <c r="D17" s="38"/>
      <c r="E17" s="38"/>
      <c r="F17" s="38"/>
      <c r="G17" s="38"/>
      <c r="H17" s="38"/>
      <c r="I17" s="38"/>
      <c r="J17" s="38"/>
      <c r="K17" s="38"/>
      <c r="L17" s="55"/>
      <c r="M17" s="38"/>
      <c r="N17" s="38"/>
      <c r="O17" s="38"/>
      <c r="P17" s="38"/>
    </row>
    <row r="18" ht="15.75" customHeight="1">
      <c r="D18" s="38"/>
      <c r="E18" s="38"/>
      <c r="F18" s="38"/>
      <c r="G18" s="38"/>
      <c r="H18" s="38"/>
      <c r="I18" s="38"/>
      <c r="J18" s="38"/>
      <c r="K18" s="38"/>
      <c r="L18" s="55"/>
      <c r="M18" s="38"/>
      <c r="N18" s="38"/>
      <c r="O18" s="38"/>
      <c r="P18" s="38"/>
    </row>
    <row r="19" ht="15.75" customHeight="1">
      <c r="A19" s="21" t="s">
        <v>55</v>
      </c>
      <c r="B19" s="22"/>
      <c r="C19" s="23">
        <f>SUM(H19:H29)</f>
        <v>54.41</v>
      </c>
      <c r="D19" s="24"/>
      <c r="E19" s="25">
        <v>3.4</v>
      </c>
      <c r="F19" s="25">
        <f t="shared" ref="F19:F23" si="3"> ABS(L19-K19)</f>
        <v>25</v>
      </c>
      <c r="G19" s="25">
        <f t="shared" ref="G19:G24" si="4">H19 / ( ABS(L19-K19) * E19)</f>
        <v>3.202</v>
      </c>
      <c r="H19" s="25">
        <v>272.17</v>
      </c>
      <c r="I19" s="25" t="s">
        <v>59</v>
      </c>
      <c r="J19" s="29" t="s">
        <v>60</v>
      </c>
      <c r="K19" s="29">
        <v>49191.79</v>
      </c>
      <c r="L19" s="31">
        <f>K19+25</f>
        <v>49216.79</v>
      </c>
      <c r="M19" s="32">
        <v>49110.9</v>
      </c>
      <c r="N19" s="33">
        <v>46034.0</v>
      </c>
      <c r="O19" s="34">
        <v>0.9380439814814815</v>
      </c>
      <c r="P19" s="13" t="s">
        <v>299</v>
      </c>
    </row>
    <row r="20" ht="15.75" customHeight="1">
      <c r="A20" s="35" t="s">
        <v>73</v>
      </c>
      <c r="B20" s="36">
        <v>150.0</v>
      </c>
      <c r="C20" s="37"/>
      <c r="D20" s="38"/>
      <c r="E20" s="25">
        <v>2.7</v>
      </c>
      <c r="F20" s="25">
        <f t="shared" si="3"/>
        <v>25</v>
      </c>
      <c r="G20" s="25">
        <f t="shared" si="4"/>
        <v>0.668</v>
      </c>
      <c r="H20" s="13">
        <v>45.09</v>
      </c>
      <c r="I20" s="13" t="s">
        <v>59</v>
      </c>
      <c r="J20" s="32" t="s">
        <v>22</v>
      </c>
      <c r="K20" s="29">
        <v>25867.36</v>
      </c>
      <c r="L20" s="39">
        <f>K20-25</f>
        <v>25842.36</v>
      </c>
      <c r="M20" s="29">
        <v>25884.06</v>
      </c>
      <c r="N20" s="40">
        <v>46035.0</v>
      </c>
      <c r="O20" s="41">
        <v>0.94375</v>
      </c>
      <c r="P20" s="13" t="s">
        <v>299</v>
      </c>
    </row>
    <row r="21" ht="55.5" customHeight="1">
      <c r="A21" s="35" t="s">
        <v>112</v>
      </c>
      <c r="B21" s="15">
        <f>C19-B20</f>
        <v>-95.59</v>
      </c>
      <c r="C21" s="37"/>
      <c r="D21" s="38"/>
      <c r="E21" s="25">
        <v>2.6</v>
      </c>
      <c r="F21" s="25">
        <f t="shared" si="3"/>
        <v>45.1</v>
      </c>
      <c r="G21" s="25">
        <f t="shared" si="4"/>
        <v>-1</v>
      </c>
      <c r="H21" s="25">
        <v>-117.26</v>
      </c>
      <c r="I21" s="25" t="s">
        <v>59</v>
      </c>
      <c r="J21" s="29" t="s">
        <v>60</v>
      </c>
      <c r="K21" s="31">
        <v>49208.08</v>
      </c>
      <c r="L21" s="39">
        <v>49162.98</v>
      </c>
      <c r="M21" s="32"/>
      <c r="N21" s="40">
        <v>46036.0</v>
      </c>
      <c r="O21" s="34">
        <v>0.9375</v>
      </c>
      <c r="P21" s="13" t="s">
        <v>300</v>
      </c>
    </row>
    <row r="22" ht="15.75" customHeight="1">
      <c r="C22" s="43"/>
      <c r="D22" s="38"/>
      <c r="E22" s="25">
        <v>2.1</v>
      </c>
      <c r="F22" s="25">
        <f t="shared" si="3"/>
        <v>50.1</v>
      </c>
      <c r="G22" s="25">
        <f t="shared" si="4"/>
        <v>-1</v>
      </c>
      <c r="H22" s="13">
        <v>-105.21</v>
      </c>
      <c r="I22" s="13" t="s">
        <v>59</v>
      </c>
      <c r="J22" s="32" t="s">
        <v>60</v>
      </c>
      <c r="K22" s="29">
        <v>49174.08</v>
      </c>
      <c r="L22" s="39">
        <v>49123.98</v>
      </c>
      <c r="M22" s="29"/>
      <c r="N22" s="40">
        <v>46036.0</v>
      </c>
      <c r="O22" s="41">
        <v>0.9388888888888889</v>
      </c>
      <c r="P22" s="13" t="s">
        <v>301</v>
      </c>
    </row>
    <row r="23" ht="15.75" customHeight="1">
      <c r="B23" s="3" t="s">
        <v>46</v>
      </c>
      <c r="C23" s="44">
        <f>SUM(G19:G29)</f>
        <v>2.198939394</v>
      </c>
      <c r="D23" s="38"/>
      <c r="E23" s="25">
        <v>2.1</v>
      </c>
      <c r="F23" s="25">
        <f t="shared" si="3"/>
        <v>40.1</v>
      </c>
      <c r="G23" s="25">
        <f t="shared" si="4"/>
        <v>-1</v>
      </c>
      <c r="H23" s="13">
        <v>-84.21</v>
      </c>
      <c r="I23" s="13" t="s">
        <v>59</v>
      </c>
      <c r="J23" s="13" t="s">
        <v>60</v>
      </c>
      <c r="K23" s="13">
        <v>49140.08</v>
      </c>
      <c r="L23" s="39">
        <v>49099.98</v>
      </c>
      <c r="M23" s="38"/>
      <c r="N23" s="40">
        <v>46036.0</v>
      </c>
      <c r="O23" s="46">
        <v>0.9395833333333333</v>
      </c>
      <c r="P23" s="13" t="s">
        <v>301</v>
      </c>
    </row>
    <row r="24" ht="15.75" customHeight="1">
      <c r="D24" s="38"/>
      <c r="E24" s="25">
        <v>2.1</v>
      </c>
      <c r="F24" s="25">
        <v>30.0</v>
      </c>
      <c r="G24" s="25">
        <f t="shared" si="4"/>
        <v>2.196</v>
      </c>
      <c r="H24" s="13">
        <v>115.29</v>
      </c>
      <c r="I24" s="13" t="s">
        <v>59</v>
      </c>
      <c r="J24" s="13" t="s">
        <v>60</v>
      </c>
      <c r="K24" s="13">
        <v>49160.08</v>
      </c>
      <c r="L24" s="39">
        <f>K24-25</f>
        <v>49135.08</v>
      </c>
      <c r="M24" s="13">
        <v>49214.98</v>
      </c>
      <c r="N24" s="40">
        <v>46036.0</v>
      </c>
      <c r="O24" s="46">
        <v>0.9409722222222222</v>
      </c>
      <c r="P24" s="38"/>
    </row>
    <row r="25" ht="15.75" customHeight="1">
      <c r="D25" s="38"/>
      <c r="E25" s="25"/>
      <c r="F25" s="25"/>
      <c r="G25" s="25">
        <v>0.0</v>
      </c>
      <c r="H25" s="13">
        <v>0.0</v>
      </c>
      <c r="I25" s="13" t="s">
        <v>59</v>
      </c>
      <c r="J25" s="13" t="s">
        <v>22</v>
      </c>
      <c r="K25" s="13">
        <v>25725.26</v>
      </c>
      <c r="L25" s="45"/>
      <c r="M25" s="38"/>
      <c r="N25" s="40">
        <v>46037.0</v>
      </c>
      <c r="O25" s="46">
        <v>0.9423611111111111</v>
      </c>
      <c r="P25" s="38"/>
    </row>
    <row r="26" ht="15.75" customHeight="1">
      <c r="D26" s="38"/>
      <c r="E26" s="25">
        <v>1.7</v>
      </c>
      <c r="F26" s="25">
        <v>40.0</v>
      </c>
      <c r="G26" s="25">
        <f t="shared" ref="G26:G28" si="5">H26 / ( ABS(L26-K26) * E26)</f>
        <v>0.9975</v>
      </c>
      <c r="H26" s="13">
        <v>67.83</v>
      </c>
      <c r="I26" s="13" t="s">
        <v>59</v>
      </c>
      <c r="J26" s="13" t="s">
        <v>60</v>
      </c>
      <c r="K26" s="13">
        <v>49333.08</v>
      </c>
      <c r="L26" s="45">
        <f>K26-40</f>
        <v>49293.08</v>
      </c>
      <c r="M26" s="13">
        <v>49372.98</v>
      </c>
      <c r="N26" s="40">
        <v>46037.0</v>
      </c>
      <c r="O26" s="46">
        <v>0.9395833333333333</v>
      </c>
      <c r="P26" s="38"/>
    </row>
    <row r="27" ht="15.75" customHeight="1">
      <c r="D27" s="38"/>
      <c r="E27" s="25">
        <v>3.3</v>
      </c>
      <c r="F27" s="25">
        <v>25.0</v>
      </c>
      <c r="G27" s="25">
        <f t="shared" si="5"/>
        <v>-0.8620606061</v>
      </c>
      <c r="H27" s="13">
        <v>-71.12</v>
      </c>
      <c r="I27" s="13" t="s">
        <v>59</v>
      </c>
      <c r="J27" s="13" t="s">
        <v>22</v>
      </c>
      <c r="K27" s="13">
        <v>25727.51</v>
      </c>
      <c r="L27" s="7">
        <f>K27+25</f>
        <v>25752.51</v>
      </c>
      <c r="M27" s="45"/>
      <c r="N27" s="40">
        <v>46037.0</v>
      </c>
      <c r="O27" s="46">
        <v>0.9409722222222222</v>
      </c>
      <c r="P27" s="38"/>
    </row>
    <row r="28" ht="15.75" customHeight="1">
      <c r="D28" s="38"/>
      <c r="E28" s="25">
        <v>1.7</v>
      </c>
      <c r="F28" s="25">
        <v>40.0</v>
      </c>
      <c r="G28" s="25">
        <f t="shared" si="5"/>
        <v>-1.0025</v>
      </c>
      <c r="H28" s="13">
        <v>-68.17</v>
      </c>
      <c r="I28" s="13" t="s">
        <v>59</v>
      </c>
      <c r="J28" s="13" t="s">
        <v>60</v>
      </c>
      <c r="K28" s="13">
        <v>49332.08</v>
      </c>
      <c r="L28" s="45">
        <f>K28-40</f>
        <v>49292.08</v>
      </c>
      <c r="M28" s="13"/>
      <c r="N28" s="40">
        <v>46037.0</v>
      </c>
      <c r="O28" s="46">
        <v>0.9388888888888889</v>
      </c>
      <c r="P28" s="38"/>
    </row>
    <row r="29" ht="15.75" customHeight="1">
      <c r="D29" s="38"/>
      <c r="E29" s="25"/>
      <c r="F29" s="25"/>
      <c r="G29" s="25">
        <v>0.0</v>
      </c>
      <c r="H29" s="13">
        <v>0.0</v>
      </c>
      <c r="I29" s="13" t="s">
        <v>59</v>
      </c>
      <c r="J29" s="13" t="s">
        <v>60</v>
      </c>
      <c r="K29" s="13">
        <v>49320.08</v>
      </c>
      <c r="L29" s="55"/>
      <c r="M29" s="13"/>
      <c r="N29" s="40">
        <v>46037.0</v>
      </c>
      <c r="O29" s="46">
        <v>0.9375</v>
      </c>
      <c r="P29" s="38"/>
    </row>
    <row r="30" ht="15.75" customHeight="1">
      <c r="D30" s="38"/>
      <c r="E30" s="38"/>
      <c r="F30" s="38"/>
      <c r="G30" s="38"/>
      <c r="H30" s="38"/>
      <c r="I30" s="38"/>
      <c r="J30" s="38"/>
      <c r="K30" s="38"/>
      <c r="L30" s="55"/>
      <c r="M30" s="38"/>
      <c r="N30" s="38"/>
      <c r="O30" s="38"/>
      <c r="P30" s="38"/>
    </row>
    <row r="31" ht="15.75" customHeight="1">
      <c r="D31" s="38"/>
      <c r="E31" s="38"/>
      <c r="F31" s="38"/>
      <c r="G31" s="38"/>
      <c r="H31" s="38"/>
      <c r="I31" s="38"/>
      <c r="J31" s="38"/>
      <c r="K31" s="38"/>
      <c r="L31" s="55"/>
      <c r="M31" s="38"/>
      <c r="N31" s="38"/>
      <c r="O31" s="38"/>
      <c r="P31" s="38"/>
    </row>
    <row r="32" ht="15.75" customHeight="1">
      <c r="D32" s="38"/>
      <c r="E32" s="38"/>
      <c r="F32" s="38"/>
      <c r="G32" s="38"/>
      <c r="H32" s="38"/>
      <c r="I32" s="38"/>
      <c r="J32" s="38"/>
      <c r="K32" s="38"/>
      <c r="L32" s="55"/>
      <c r="M32" s="38"/>
      <c r="N32" s="38"/>
      <c r="O32" s="38"/>
      <c r="P32" s="38"/>
    </row>
    <row r="33" ht="15.75" customHeight="1">
      <c r="A33" s="21" t="s">
        <v>55</v>
      </c>
      <c r="B33" s="22"/>
      <c r="C33" s="23">
        <f>SUM(H33:H42)</f>
        <v>-121.01</v>
      </c>
      <c r="D33" s="24"/>
      <c r="E33" s="25">
        <v>2.0</v>
      </c>
      <c r="F33" s="25">
        <v>35.0</v>
      </c>
      <c r="G33" s="25">
        <f>H33 / ( ABS(L33-K33) * E33)</f>
        <v>1.868571429</v>
      </c>
      <c r="H33" s="25">
        <v>130.8</v>
      </c>
      <c r="I33" s="25"/>
      <c r="J33" s="13" t="s">
        <v>60</v>
      </c>
      <c r="K33" s="13">
        <v>48734.05</v>
      </c>
      <c r="L33" s="31">
        <f>K33-35</f>
        <v>48699.05</v>
      </c>
      <c r="M33" s="31">
        <v>48799.45</v>
      </c>
      <c r="N33" s="33">
        <v>46042.0</v>
      </c>
      <c r="O33" s="34">
        <v>0.9375</v>
      </c>
      <c r="P33" s="13" t="s">
        <v>326</v>
      </c>
    </row>
    <row r="34" ht="15.75" customHeight="1">
      <c r="A34" s="35" t="s">
        <v>73</v>
      </c>
      <c r="B34" s="36">
        <v>150.0</v>
      </c>
      <c r="C34" s="37"/>
      <c r="D34" s="38"/>
      <c r="E34" s="25">
        <v>1.2</v>
      </c>
      <c r="F34" s="25">
        <v>60.0</v>
      </c>
      <c r="G34" s="25">
        <v>0.0</v>
      </c>
      <c r="H34" s="13">
        <v>0.66</v>
      </c>
      <c r="I34" s="13" t="s">
        <v>59</v>
      </c>
      <c r="J34" s="32" t="s">
        <v>60</v>
      </c>
      <c r="K34" s="29">
        <v>48706.96</v>
      </c>
      <c r="L34" s="39"/>
      <c r="M34" s="29">
        <v>48707.51</v>
      </c>
      <c r="N34" s="40">
        <v>46043.0</v>
      </c>
      <c r="O34" s="41">
        <v>0.9381944444444444</v>
      </c>
      <c r="P34" s="13" t="s">
        <v>328</v>
      </c>
    </row>
    <row r="35" ht="15.75" customHeight="1">
      <c r="A35" s="35" t="s">
        <v>112</v>
      </c>
      <c r="B35" s="15">
        <f>C33-B34</f>
        <v>-271.01</v>
      </c>
      <c r="C35" s="37"/>
      <c r="D35" s="38"/>
      <c r="E35" s="25">
        <v>2.5</v>
      </c>
      <c r="F35" s="25">
        <v>25.0</v>
      </c>
      <c r="G35" s="25">
        <f t="shared" ref="G35:G38" si="6">H35 / ( ABS(L35-K35) * E35)</f>
        <v>-1</v>
      </c>
      <c r="H35" s="25">
        <v>-65.75</v>
      </c>
      <c r="I35" s="25" t="s">
        <v>59</v>
      </c>
      <c r="J35" s="29" t="s">
        <v>22</v>
      </c>
      <c r="K35" s="31">
        <v>25507.02</v>
      </c>
      <c r="L35" s="39">
        <v>25533.32</v>
      </c>
      <c r="M35" s="32"/>
      <c r="N35" s="40">
        <v>46044.0</v>
      </c>
      <c r="O35" s="34">
        <v>0.9465277777777777</v>
      </c>
      <c r="P35" s="13"/>
    </row>
    <row r="36" ht="15.75" customHeight="1">
      <c r="C36" s="43"/>
      <c r="D36" s="38"/>
      <c r="E36" s="25">
        <v>3.3</v>
      </c>
      <c r="F36" s="25">
        <v>20.0</v>
      </c>
      <c r="G36" s="25">
        <f t="shared" si="6"/>
        <v>-1.000158655</v>
      </c>
      <c r="H36" s="13">
        <v>-31.52</v>
      </c>
      <c r="I36" s="13" t="s">
        <v>59</v>
      </c>
      <c r="J36" s="32" t="s">
        <v>22</v>
      </c>
      <c r="K36" s="29">
        <v>25530.02</v>
      </c>
      <c r="L36" s="39">
        <v>25539.57</v>
      </c>
      <c r="M36" s="29"/>
      <c r="N36" s="40">
        <v>46044.0</v>
      </c>
      <c r="O36" s="41">
        <v>0.9409722222222222</v>
      </c>
      <c r="P36" s="13"/>
    </row>
    <row r="37" ht="15.75" customHeight="1">
      <c r="B37" s="3" t="s">
        <v>46</v>
      </c>
      <c r="C37" s="44">
        <f>SUM(G33:G43)</f>
        <v>-1.209216602</v>
      </c>
      <c r="D37" s="38"/>
      <c r="E37" s="25">
        <v>3.3</v>
      </c>
      <c r="F37" s="25">
        <v>20.0</v>
      </c>
      <c r="G37" s="25">
        <f t="shared" si="6"/>
        <v>-1.000068714</v>
      </c>
      <c r="H37" s="13">
        <v>-72.77</v>
      </c>
      <c r="I37" s="13" t="s">
        <v>59</v>
      </c>
      <c r="J37" s="13" t="s">
        <v>22</v>
      </c>
      <c r="K37" s="13">
        <v>25547.77</v>
      </c>
      <c r="L37" s="39">
        <v>25569.82</v>
      </c>
      <c r="M37" s="38"/>
      <c r="N37" s="40">
        <v>46044.0</v>
      </c>
      <c r="O37" s="46">
        <v>0.9388888888888889</v>
      </c>
      <c r="P37" s="13"/>
    </row>
    <row r="38" ht="15.75" customHeight="1">
      <c r="D38" s="38"/>
      <c r="E38" s="25">
        <v>3.5</v>
      </c>
      <c r="F38" s="25">
        <v>20.0</v>
      </c>
      <c r="G38" s="25">
        <f t="shared" si="6"/>
        <v>-1.000060661</v>
      </c>
      <c r="H38" s="13">
        <v>-82.43</v>
      </c>
      <c r="I38" s="13" t="s">
        <v>59</v>
      </c>
      <c r="J38" s="13" t="s">
        <v>22</v>
      </c>
      <c r="K38" s="13">
        <v>25561.27</v>
      </c>
      <c r="L38" s="39">
        <v>25584.82</v>
      </c>
      <c r="M38" s="13"/>
      <c r="N38" s="40">
        <v>46044.0</v>
      </c>
      <c r="O38" s="46">
        <v>0.9375</v>
      </c>
      <c r="P38" s="38"/>
    </row>
    <row r="39" ht="15.75" customHeight="1">
      <c r="D39" s="38"/>
      <c r="E39" s="25"/>
      <c r="F39" s="25"/>
      <c r="G39" s="25"/>
      <c r="H39" s="13"/>
      <c r="I39" s="13"/>
      <c r="J39" s="13"/>
      <c r="K39" s="13"/>
      <c r="L39" s="45"/>
      <c r="M39" s="38"/>
      <c r="N39" s="40"/>
      <c r="O39" s="46"/>
      <c r="P39" s="38"/>
    </row>
    <row r="40" ht="15.75" customHeight="1">
      <c r="D40" s="38"/>
      <c r="E40" s="25"/>
      <c r="F40" s="25"/>
      <c r="G40" s="25"/>
      <c r="H40" s="13"/>
      <c r="I40" s="13"/>
      <c r="J40" s="13"/>
      <c r="K40" s="13"/>
      <c r="L40" s="45"/>
      <c r="M40" s="13"/>
      <c r="N40" s="40"/>
      <c r="O40" s="46"/>
      <c r="P40" s="38"/>
    </row>
    <row r="41" ht="15.75" customHeight="1">
      <c r="D41" s="38"/>
      <c r="E41" s="25"/>
      <c r="F41" s="25"/>
      <c r="G41" s="25"/>
      <c r="H41" s="13"/>
      <c r="I41" s="13"/>
      <c r="J41" s="13"/>
      <c r="K41" s="13"/>
      <c r="M41" s="45"/>
      <c r="N41" s="40"/>
      <c r="O41" s="46"/>
      <c r="P41" s="38"/>
    </row>
    <row r="42" ht="15.75" customHeight="1">
      <c r="D42" s="38"/>
      <c r="E42" s="25"/>
      <c r="F42" s="25"/>
      <c r="G42" s="25"/>
      <c r="H42" s="13"/>
      <c r="I42" s="13"/>
      <c r="J42" s="13"/>
      <c r="K42" s="13"/>
      <c r="L42" s="45"/>
      <c r="M42" s="13"/>
      <c r="N42" s="40"/>
      <c r="O42" s="46"/>
      <c r="P42" s="38"/>
    </row>
    <row r="43" ht="15.75" customHeight="1">
      <c r="A43" s="21" t="s">
        <v>55</v>
      </c>
      <c r="B43" s="22"/>
      <c r="C43" s="23">
        <f>SUM(H43:H53)</f>
        <v>285.21</v>
      </c>
      <c r="D43" s="24"/>
      <c r="E43" s="25">
        <v>3.8</v>
      </c>
      <c r="F43" s="25">
        <f>20</f>
        <v>20</v>
      </c>
      <c r="G43" s="25">
        <f t="shared" ref="G43:G47" si="7">H43 / ( ABS(L43-K43) * E43)</f>
        <v>0.9225</v>
      </c>
      <c r="H43" s="25">
        <v>70.11</v>
      </c>
      <c r="I43" s="25" t="s">
        <v>59</v>
      </c>
      <c r="J43" s="13" t="s">
        <v>22</v>
      </c>
      <c r="K43" s="13">
        <v>25656.3</v>
      </c>
      <c r="L43" s="31">
        <f>K43-20</f>
        <v>25636.3</v>
      </c>
      <c r="M43" s="31">
        <v>25674.75</v>
      </c>
      <c r="N43" s="33">
        <v>46048.0</v>
      </c>
      <c r="O43" s="34">
        <v>0.9395833333333333</v>
      </c>
      <c r="P43" s="13" t="s">
        <v>330</v>
      </c>
    </row>
    <row r="44" ht="15.75" customHeight="1">
      <c r="A44" s="35" t="s">
        <v>73</v>
      </c>
      <c r="B44" s="36">
        <v>150.0</v>
      </c>
      <c r="C44" s="37"/>
      <c r="D44" s="38"/>
      <c r="E44" s="25">
        <v>5.0</v>
      </c>
      <c r="F44" s="25">
        <v>15.0</v>
      </c>
      <c r="G44" s="25">
        <f t="shared" si="7"/>
        <v>-1</v>
      </c>
      <c r="H44" s="13">
        <v>-116.5</v>
      </c>
      <c r="I44" s="13" t="s">
        <v>59</v>
      </c>
      <c r="J44" s="32" t="s">
        <v>22</v>
      </c>
      <c r="K44" s="29">
        <v>25850.56</v>
      </c>
      <c r="L44" s="39">
        <v>25873.86</v>
      </c>
      <c r="M44" s="29"/>
      <c r="N44" s="40">
        <v>46049.0</v>
      </c>
      <c r="O44" s="41">
        <v>0.9375</v>
      </c>
      <c r="P44" s="13" t="s">
        <v>331</v>
      </c>
    </row>
    <row r="45" ht="15.75" customHeight="1">
      <c r="A45" s="35" t="s">
        <v>112</v>
      </c>
      <c r="B45" s="15">
        <f>C43-B44</f>
        <v>135.21</v>
      </c>
      <c r="C45" s="37"/>
      <c r="D45" s="38"/>
      <c r="E45" s="25">
        <v>4.7</v>
      </c>
      <c r="F45" s="25">
        <v>15.0</v>
      </c>
      <c r="G45" s="25">
        <f t="shared" si="7"/>
        <v>1.696737589</v>
      </c>
      <c r="H45" s="25">
        <v>119.62</v>
      </c>
      <c r="I45" s="25" t="s">
        <v>59</v>
      </c>
      <c r="J45" s="29" t="s">
        <v>22</v>
      </c>
      <c r="K45" s="31">
        <v>25843.56</v>
      </c>
      <c r="L45" s="39">
        <f>K45+15</f>
        <v>25858.56</v>
      </c>
      <c r="M45" s="39">
        <v>25818.11</v>
      </c>
      <c r="N45" s="40">
        <v>46049.0</v>
      </c>
      <c r="O45" s="34">
        <v>0.9409722222222222</v>
      </c>
      <c r="P45" s="13" t="s">
        <v>332</v>
      </c>
    </row>
    <row r="46" ht="15.75" customHeight="1">
      <c r="C46" s="43"/>
      <c r="D46" s="38"/>
      <c r="E46" s="25">
        <v>2.4</v>
      </c>
      <c r="F46" s="25">
        <v>30.0</v>
      </c>
      <c r="G46" s="25">
        <f t="shared" si="7"/>
        <v>1.296666667</v>
      </c>
      <c r="H46" s="13">
        <v>93.36</v>
      </c>
      <c r="I46" s="13" t="s">
        <v>59</v>
      </c>
      <c r="J46" s="32" t="s">
        <v>20</v>
      </c>
      <c r="K46" s="29">
        <v>49089.61</v>
      </c>
      <c r="L46" s="39">
        <f>K46-30</f>
        <v>49059.61</v>
      </c>
      <c r="M46" s="29">
        <v>49128.51</v>
      </c>
      <c r="N46" s="40">
        <v>46050.0</v>
      </c>
      <c r="O46" s="41">
        <v>0.9395833333333333</v>
      </c>
      <c r="P46" s="13" t="s">
        <v>332</v>
      </c>
    </row>
    <row r="47" ht="15.75" customHeight="1">
      <c r="B47" s="3" t="s">
        <v>46</v>
      </c>
      <c r="C47" s="44">
        <f>SUM(G43:G53)</f>
        <v>4.798761398</v>
      </c>
      <c r="D47" s="38"/>
      <c r="E47" s="25">
        <v>1.8</v>
      </c>
      <c r="F47" s="25">
        <v>35.0</v>
      </c>
      <c r="G47" s="25">
        <f t="shared" si="7"/>
        <v>1.882857143</v>
      </c>
      <c r="H47" s="13">
        <v>118.62</v>
      </c>
      <c r="I47" s="13" t="s">
        <v>59</v>
      </c>
      <c r="J47" s="13" t="s">
        <v>20</v>
      </c>
      <c r="K47" s="13">
        <v>49165.61</v>
      </c>
      <c r="L47" s="39">
        <f>K47-35</f>
        <v>49130.61</v>
      </c>
      <c r="M47" s="13">
        <v>49231.51</v>
      </c>
      <c r="N47" s="40">
        <v>46051.0</v>
      </c>
      <c r="O47" s="46">
        <v>0.9402777777777778</v>
      </c>
      <c r="P47" s="13" t="s">
        <v>332</v>
      </c>
    </row>
    <row r="48" ht="15.75" customHeight="1">
      <c r="D48" s="38"/>
      <c r="E48" s="25"/>
      <c r="F48" s="25"/>
      <c r="G48" s="25"/>
      <c r="H48" s="13"/>
      <c r="I48" s="13"/>
      <c r="J48" s="13"/>
      <c r="K48" s="13"/>
      <c r="L48" s="39"/>
      <c r="M48" s="13"/>
      <c r="N48" s="40"/>
      <c r="O48" s="46"/>
      <c r="P48" s="38"/>
    </row>
    <row r="49" ht="15.75" customHeight="1">
      <c r="D49" s="38"/>
      <c r="E49" s="38"/>
      <c r="F49" s="38"/>
      <c r="G49" s="38"/>
      <c r="H49" s="38"/>
      <c r="I49" s="38"/>
      <c r="J49" s="38"/>
      <c r="K49" s="38"/>
      <c r="L49" s="55"/>
      <c r="M49" s="38"/>
      <c r="N49" s="38"/>
      <c r="O49" s="38"/>
      <c r="P49" s="38"/>
    </row>
    <row r="50" ht="15.75" customHeight="1">
      <c r="D50" s="38"/>
      <c r="E50" s="38"/>
      <c r="F50" s="38"/>
      <c r="G50" s="38"/>
      <c r="H50" s="38"/>
      <c r="I50" s="38"/>
      <c r="J50" s="38"/>
      <c r="K50" s="38"/>
      <c r="L50" s="55"/>
      <c r="M50" s="38"/>
      <c r="N50" s="38"/>
      <c r="O50" s="38"/>
      <c r="P50" s="38"/>
    </row>
    <row r="51" ht="15.75" customHeight="1">
      <c r="D51" s="38"/>
      <c r="E51" s="38"/>
      <c r="F51" s="38"/>
      <c r="G51" s="38"/>
      <c r="H51" s="38"/>
      <c r="I51" s="38"/>
      <c r="J51" s="38"/>
      <c r="K51" s="38"/>
      <c r="L51" s="55"/>
      <c r="M51" s="38"/>
      <c r="N51" s="38"/>
      <c r="O51" s="38"/>
      <c r="P51" s="38"/>
    </row>
    <row r="52" ht="15.75" customHeight="1">
      <c r="D52" s="38"/>
      <c r="E52" s="38"/>
      <c r="F52" s="38"/>
      <c r="G52" s="38"/>
      <c r="H52" s="38"/>
      <c r="I52" s="38"/>
      <c r="J52" s="38"/>
      <c r="K52" s="38"/>
      <c r="L52" s="55"/>
      <c r="M52" s="38"/>
      <c r="N52" s="38"/>
      <c r="O52" s="38"/>
      <c r="P52" s="38"/>
    </row>
    <row r="53" ht="15.75" customHeight="1">
      <c r="D53" s="38"/>
      <c r="E53" s="38"/>
      <c r="F53" s="38"/>
      <c r="G53" s="38"/>
      <c r="H53" s="38"/>
      <c r="I53" s="38"/>
      <c r="J53" s="38"/>
      <c r="K53" s="38"/>
      <c r="L53" s="55"/>
      <c r="M53" s="38"/>
      <c r="N53" s="38"/>
      <c r="O53" s="38"/>
      <c r="P53" s="38"/>
    </row>
    <row r="54" ht="41.25" customHeight="1">
      <c r="A54" s="21" t="s">
        <v>55</v>
      </c>
      <c r="B54" s="22"/>
      <c r="C54" s="23">
        <f>SUM(H54:H64)</f>
        <v>764.18</v>
      </c>
      <c r="D54" s="24"/>
      <c r="E54" s="25">
        <v>5.0</v>
      </c>
      <c r="F54" s="25">
        <v>40.0</v>
      </c>
      <c r="G54" s="25">
        <f t="shared" ref="G54:G57" si="8">H54 / ( ABS(L54-K54) * E54)</f>
        <v>2.10625</v>
      </c>
      <c r="H54" s="25">
        <v>421.25</v>
      </c>
      <c r="I54" s="25" t="s">
        <v>59</v>
      </c>
      <c r="J54" s="13" t="s">
        <v>20</v>
      </c>
      <c r="K54" s="13">
        <v>48965.57</v>
      </c>
      <c r="L54" s="31">
        <f>K54-40</f>
        <v>48925.57</v>
      </c>
      <c r="M54" s="31">
        <v>49049.82</v>
      </c>
      <c r="N54" s="33">
        <v>46055.0</v>
      </c>
      <c r="O54" s="34">
        <v>0.9395833333333333</v>
      </c>
      <c r="P54" s="13" t="s">
        <v>342</v>
      </c>
    </row>
    <row r="55" ht="15.75" customHeight="1">
      <c r="A55" s="35" t="s">
        <v>73</v>
      </c>
      <c r="B55" s="36">
        <v>150.0</v>
      </c>
      <c r="C55" s="37"/>
      <c r="D55" s="38"/>
      <c r="E55" s="25">
        <v>6.0</v>
      </c>
      <c r="F55" s="25">
        <v>35.0</v>
      </c>
      <c r="G55" s="25">
        <f t="shared" si="8"/>
        <v>1.680857143</v>
      </c>
      <c r="H55" s="13">
        <v>352.98</v>
      </c>
      <c r="I55" s="13" t="s">
        <v>59</v>
      </c>
      <c r="J55" s="32" t="s">
        <v>20</v>
      </c>
      <c r="K55" s="29">
        <v>49520.61</v>
      </c>
      <c r="L55" s="39">
        <f>K55-35</f>
        <v>49485.61</v>
      </c>
      <c r="M55" s="29">
        <v>49579.44</v>
      </c>
      <c r="N55" s="40">
        <v>46056.0</v>
      </c>
      <c r="O55" s="41">
        <v>0.9388888888888889</v>
      </c>
      <c r="P55" s="13" t="s">
        <v>343</v>
      </c>
    </row>
    <row r="56" ht="15.75" customHeight="1">
      <c r="A56" s="35" t="s">
        <v>112</v>
      </c>
      <c r="B56" s="15">
        <f>C54-B55</f>
        <v>614.18</v>
      </c>
      <c r="C56" s="37"/>
      <c r="D56" s="38"/>
      <c r="E56" s="25">
        <v>5.3</v>
      </c>
      <c r="F56" s="25">
        <v>40.0</v>
      </c>
      <c r="G56" s="25">
        <f t="shared" si="8"/>
        <v>0.996745283</v>
      </c>
      <c r="H56" s="13">
        <v>211.31</v>
      </c>
      <c r="I56" s="25" t="s">
        <v>59</v>
      </c>
      <c r="J56" s="29" t="s">
        <v>20</v>
      </c>
      <c r="K56" s="31">
        <v>49531.59</v>
      </c>
      <c r="L56" s="39">
        <f>K56-40</f>
        <v>49491.59</v>
      </c>
      <c r="M56" s="39">
        <v>49571.46</v>
      </c>
      <c r="N56" s="40">
        <v>46057.0</v>
      </c>
      <c r="O56" s="34">
        <v>0.9395833333333333</v>
      </c>
      <c r="P56" s="13" t="s">
        <v>344</v>
      </c>
    </row>
    <row r="57" ht="15.75" customHeight="1">
      <c r="C57" s="43"/>
      <c r="D57" s="38"/>
      <c r="E57" s="25">
        <v>4.1</v>
      </c>
      <c r="F57" s="25">
        <v>50.0</v>
      </c>
      <c r="G57" s="25">
        <f t="shared" si="8"/>
        <v>-1.079804878</v>
      </c>
      <c r="H57" s="13">
        <v>-221.36</v>
      </c>
      <c r="I57" s="13" t="s">
        <v>59</v>
      </c>
      <c r="J57" s="32" t="s">
        <v>22</v>
      </c>
      <c r="K57" s="29">
        <v>24583.12</v>
      </c>
      <c r="L57" s="39">
        <f>K57+50</f>
        <v>24633.12</v>
      </c>
      <c r="M57" s="29">
        <v>24637.17</v>
      </c>
      <c r="N57" s="40">
        <v>46058.0</v>
      </c>
      <c r="O57" s="41">
        <v>0.9388888888888889</v>
      </c>
      <c r="P57" s="13" t="s">
        <v>346</v>
      </c>
    </row>
    <row r="58" ht="15.75" customHeight="1">
      <c r="B58" s="3" t="s">
        <v>46</v>
      </c>
      <c r="C58" s="44">
        <f>SUM(G54:G64)</f>
        <v>3.704047548</v>
      </c>
      <c r="D58" s="38"/>
      <c r="E58" s="25"/>
      <c r="F58" s="25"/>
      <c r="G58" s="25"/>
      <c r="H58" s="13"/>
      <c r="I58" s="13"/>
      <c r="J58" s="13"/>
      <c r="K58" s="13"/>
      <c r="L58" s="39"/>
      <c r="M58" s="13"/>
      <c r="N58" s="40"/>
      <c r="O58" s="46"/>
      <c r="P58" s="13"/>
    </row>
    <row r="59" ht="15.75" customHeight="1">
      <c r="D59" s="38"/>
      <c r="E59" s="38"/>
      <c r="F59" s="38"/>
      <c r="G59" s="38"/>
      <c r="H59" s="38"/>
      <c r="I59" s="38"/>
      <c r="J59" s="38"/>
      <c r="K59" s="38"/>
      <c r="L59" s="55"/>
      <c r="M59" s="38"/>
      <c r="N59" s="38"/>
      <c r="O59" s="38"/>
      <c r="P59" s="38"/>
    </row>
    <row r="60" ht="15.75" customHeight="1">
      <c r="D60" s="38"/>
      <c r="E60" s="38"/>
      <c r="F60" s="38"/>
      <c r="G60" s="38"/>
      <c r="H60" s="38"/>
      <c r="I60" s="38"/>
      <c r="J60" s="38"/>
      <c r="K60" s="38"/>
      <c r="L60" s="55"/>
      <c r="M60" s="38"/>
      <c r="N60" s="38"/>
      <c r="O60" s="38"/>
      <c r="P60" s="38"/>
    </row>
    <row r="61" ht="15.75" customHeight="1">
      <c r="D61" s="38"/>
      <c r="E61" s="38"/>
      <c r="F61" s="38"/>
      <c r="G61" s="38"/>
      <c r="H61" s="38"/>
      <c r="I61" s="38"/>
      <c r="J61" s="38"/>
      <c r="K61" s="38"/>
      <c r="L61" s="55"/>
      <c r="M61" s="38"/>
      <c r="N61" s="38"/>
      <c r="O61" s="38"/>
      <c r="P61" s="38"/>
    </row>
    <row r="62" ht="15.75" customHeight="1">
      <c r="D62" s="38"/>
      <c r="E62" s="38"/>
      <c r="F62" s="38"/>
      <c r="G62" s="38"/>
      <c r="H62" s="38"/>
      <c r="I62" s="38"/>
      <c r="J62" s="38"/>
      <c r="K62" s="38"/>
      <c r="L62" s="55"/>
      <c r="M62" s="38"/>
      <c r="N62" s="38"/>
      <c r="O62" s="38"/>
      <c r="P62" s="38"/>
    </row>
    <row r="63" ht="15.75" customHeight="1">
      <c r="D63" s="38"/>
      <c r="E63" s="38"/>
      <c r="F63" s="38"/>
      <c r="G63" s="38"/>
      <c r="H63" s="38"/>
      <c r="I63" s="38"/>
      <c r="J63" s="38"/>
      <c r="K63" s="38"/>
      <c r="L63" s="55"/>
      <c r="M63" s="38"/>
      <c r="N63" s="38"/>
      <c r="O63" s="38"/>
      <c r="P63" s="38"/>
    </row>
    <row r="64" ht="15.75" customHeight="1">
      <c r="D64" s="38"/>
      <c r="E64" s="38"/>
      <c r="F64" s="38"/>
      <c r="G64" s="38"/>
      <c r="H64" s="38"/>
      <c r="I64" s="38"/>
      <c r="J64" s="38"/>
      <c r="K64" s="38"/>
      <c r="L64" s="55"/>
      <c r="M64" s="38"/>
      <c r="N64" s="38"/>
      <c r="O64" s="38"/>
      <c r="P64" s="38"/>
    </row>
    <row r="65" ht="15.75" customHeight="1">
      <c r="D65" s="38"/>
      <c r="E65" s="38"/>
      <c r="F65" s="38"/>
      <c r="G65" s="38"/>
      <c r="H65" s="38"/>
      <c r="I65" s="38"/>
      <c r="J65" s="38"/>
      <c r="K65" s="38"/>
      <c r="L65" s="55"/>
      <c r="M65" s="38"/>
      <c r="N65" s="38"/>
      <c r="O65" s="38"/>
      <c r="P65" s="38"/>
    </row>
    <row r="66" ht="15.75" customHeight="1">
      <c r="A66" s="21" t="s">
        <v>55</v>
      </c>
      <c r="B66" s="22"/>
      <c r="C66" s="23">
        <f>SUM(H66:H73)</f>
        <v>-51.33</v>
      </c>
      <c r="D66" s="24"/>
      <c r="E66" s="25">
        <v>7.0</v>
      </c>
      <c r="F66" s="25">
        <v>30.0</v>
      </c>
      <c r="G66" s="25">
        <f t="shared" ref="G66:G69" si="9">H66 / ( ABS(L66-K66) * E66)</f>
        <v>-1.251666667</v>
      </c>
      <c r="H66" s="13">
        <v>-262.85</v>
      </c>
      <c r="I66" s="13" t="s">
        <v>59</v>
      </c>
      <c r="J66" s="32" t="s">
        <v>22</v>
      </c>
      <c r="K66" s="29">
        <v>24927.95</v>
      </c>
      <c r="L66" s="39">
        <f>K66+30</f>
        <v>24957.95</v>
      </c>
      <c r="M66" s="29"/>
      <c r="N66" s="40">
        <v>46062.0</v>
      </c>
      <c r="O66" s="41">
        <v>0.9395833333333333</v>
      </c>
      <c r="P66" s="13" t="s">
        <v>347</v>
      </c>
    </row>
    <row r="67" ht="15.75" customHeight="1">
      <c r="A67" s="35" t="s">
        <v>73</v>
      </c>
      <c r="B67" s="36">
        <v>150.0</v>
      </c>
      <c r="C67" s="37"/>
      <c r="D67" s="38"/>
      <c r="E67" s="25">
        <v>8.0</v>
      </c>
      <c r="F67" s="25">
        <v>25.0</v>
      </c>
      <c r="G67" s="25">
        <f t="shared" si="9"/>
        <v>1.328</v>
      </c>
      <c r="H67" s="13">
        <v>265.6</v>
      </c>
      <c r="I67" s="13" t="s">
        <v>59</v>
      </c>
      <c r="J67" s="32" t="s">
        <v>22</v>
      </c>
      <c r="K67" s="29">
        <v>25248.15</v>
      </c>
      <c r="L67" s="39">
        <f>K67+25</f>
        <v>25273.15</v>
      </c>
      <c r="M67" s="29">
        <v>25214.95</v>
      </c>
      <c r="N67" s="40">
        <v>46063.0</v>
      </c>
      <c r="O67" s="41">
        <v>0.9444444444444444</v>
      </c>
      <c r="P67" s="13"/>
    </row>
    <row r="68" ht="30.75" customHeight="1">
      <c r="A68" s="35" t="s">
        <v>112</v>
      </c>
      <c r="B68" s="15">
        <f>C66-B67</f>
        <v>-201.33</v>
      </c>
      <c r="C68" s="37"/>
      <c r="D68" s="38"/>
      <c r="E68" s="25">
        <v>5.1</v>
      </c>
      <c r="F68" s="25">
        <v>40.0</v>
      </c>
      <c r="G68" s="25">
        <f t="shared" si="9"/>
        <v>-1.152745098</v>
      </c>
      <c r="H68" s="13">
        <v>-235.16</v>
      </c>
      <c r="I68" s="25" t="s">
        <v>59</v>
      </c>
      <c r="J68" s="29" t="s">
        <v>20</v>
      </c>
      <c r="K68" s="31">
        <v>50518.56</v>
      </c>
      <c r="L68" s="39">
        <f>K68-40</f>
        <v>50478.56</v>
      </c>
      <c r="M68" s="39"/>
      <c r="N68" s="40">
        <v>46064.0</v>
      </c>
      <c r="O68" s="34">
        <v>0.9402777777777778</v>
      </c>
      <c r="P68" s="13" t="s">
        <v>349</v>
      </c>
    </row>
    <row r="69" ht="15.75" customHeight="1">
      <c r="C69" s="43"/>
      <c r="D69" s="38"/>
      <c r="E69" s="25">
        <v>6.0</v>
      </c>
      <c r="F69" s="25">
        <v>30.0</v>
      </c>
      <c r="G69" s="25">
        <f t="shared" si="9"/>
        <v>1.006</v>
      </c>
      <c r="H69" s="13">
        <v>181.08</v>
      </c>
      <c r="I69" s="13" t="s">
        <v>59</v>
      </c>
      <c r="J69" s="32" t="s">
        <v>20</v>
      </c>
      <c r="K69" s="29">
        <v>50376.24</v>
      </c>
      <c r="L69" s="39">
        <f>K69-30</f>
        <v>50346.24</v>
      </c>
      <c r="M69" s="29">
        <v>50406.42</v>
      </c>
      <c r="N69" s="40">
        <v>46065.0</v>
      </c>
      <c r="O69" s="41">
        <v>0.9388888888888889</v>
      </c>
      <c r="P69" s="13"/>
    </row>
    <row r="70" ht="15.75" customHeight="1">
      <c r="B70" s="3" t="s">
        <v>46</v>
      </c>
      <c r="C70" s="44">
        <f>SUM(G66:G73)</f>
        <v>-0.07041176471</v>
      </c>
      <c r="D70" s="38"/>
      <c r="E70" s="25"/>
      <c r="F70" s="25"/>
      <c r="G70" s="25"/>
      <c r="H70" s="13"/>
      <c r="I70" s="13"/>
      <c r="J70" s="13"/>
      <c r="K70" s="13"/>
      <c r="L70" s="39"/>
      <c r="M70" s="13"/>
      <c r="N70" s="40"/>
      <c r="O70" s="46"/>
      <c r="P70" s="13"/>
    </row>
    <row r="71" ht="15.75" customHeight="1">
      <c r="D71" s="38"/>
      <c r="E71" s="38"/>
      <c r="F71" s="38"/>
      <c r="G71" s="38"/>
      <c r="H71" s="38"/>
      <c r="I71" s="38"/>
      <c r="J71" s="38"/>
      <c r="K71" s="38"/>
      <c r="L71" s="55"/>
      <c r="M71" s="38"/>
      <c r="N71" s="38"/>
      <c r="O71" s="38"/>
      <c r="P71" s="38"/>
    </row>
    <row r="72" ht="15.75" customHeight="1">
      <c r="D72" s="38"/>
      <c r="E72" s="38"/>
      <c r="F72" s="38"/>
      <c r="G72" s="38"/>
      <c r="H72" s="38"/>
      <c r="I72" s="38"/>
      <c r="J72" s="38"/>
      <c r="K72" s="38"/>
      <c r="L72" s="55"/>
      <c r="M72" s="38"/>
      <c r="N72" s="38"/>
      <c r="O72" s="38"/>
      <c r="P72" s="38"/>
    </row>
    <row r="73" ht="15.75" customHeight="1">
      <c r="D73" s="38"/>
      <c r="E73" s="38"/>
      <c r="F73" s="38"/>
      <c r="G73" s="38"/>
      <c r="H73" s="38"/>
      <c r="I73" s="38"/>
      <c r="J73" s="38"/>
      <c r="K73" s="38"/>
      <c r="L73" s="55"/>
      <c r="M73" s="38"/>
      <c r="N73" s="38"/>
      <c r="O73" s="38"/>
      <c r="P73" s="38"/>
    </row>
    <row r="74" ht="15.75" customHeight="1">
      <c r="D74" s="38"/>
      <c r="E74" s="38"/>
      <c r="F74" s="38"/>
      <c r="G74" s="38"/>
      <c r="H74" s="38"/>
      <c r="I74" s="38"/>
      <c r="J74" s="38"/>
      <c r="K74" s="38"/>
      <c r="L74" s="55"/>
      <c r="M74" s="38"/>
      <c r="N74" s="38"/>
      <c r="O74" s="38"/>
      <c r="P74" s="38"/>
    </row>
    <row r="75" ht="37.5" customHeight="1">
      <c r="A75" s="21" t="s">
        <v>55</v>
      </c>
      <c r="B75" s="22"/>
      <c r="C75" s="23">
        <f>SUM(H75:H85)</f>
        <v>-36.4</v>
      </c>
      <c r="D75" s="24"/>
      <c r="E75" s="25">
        <v>6.0</v>
      </c>
      <c r="F75" s="25">
        <f>K75-L75</f>
        <v>35.3</v>
      </c>
      <c r="G75" s="25">
        <f t="shared" ref="G75:G77" si="10">H75 / ( ABS(L75-K75) * E75)</f>
        <v>-0.9962228517</v>
      </c>
      <c r="H75" s="13">
        <v>-211.0</v>
      </c>
      <c r="I75" s="13" t="s">
        <v>59</v>
      </c>
      <c r="J75" s="32" t="s">
        <v>22</v>
      </c>
      <c r="K75" s="13">
        <v>24647.05</v>
      </c>
      <c r="L75" s="29">
        <v>24611.75</v>
      </c>
      <c r="M75" s="29"/>
      <c r="N75" s="40">
        <v>46070.0</v>
      </c>
      <c r="O75" s="41">
        <v>0.9381944444444444</v>
      </c>
      <c r="P75" s="13" t="s">
        <v>350</v>
      </c>
    </row>
    <row r="76" ht="15.75" customHeight="1">
      <c r="A76" s="35" t="s">
        <v>73</v>
      </c>
      <c r="B76" s="36">
        <v>150.0</v>
      </c>
      <c r="C76" s="37"/>
      <c r="D76" s="38"/>
      <c r="E76" s="25">
        <v>8.0</v>
      </c>
      <c r="F76" s="25">
        <v>25.0</v>
      </c>
      <c r="G76" s="25">
        <f t="shared" si="10"/>
        <v>-1.172</v>
      </c>
      <c r="H76" s="13">
        <v>-234.4</v>
      </c>
      <c r="I76" s="13" t="s">
        <v>59</v>
      </c>
      <c r="J76" s="32" t="s">
        <v>22</v>
      </c>
      <c r="K76" s="29">
        <v>24710.67</v>
      </c>
      <c r="L76" s="39">
        <f>K76+25</f>
        <v>24735.67</v>
      </c>
      <c r="N76" s="40">
        <v>46071.0</v>
      </c>
      <c r="O76" s="41">
        <v>0.9423611111111111</v>
      </c>
      <c r="P76" s="13" t="s">
        <v>352</v>
      </c>
    </row>
    <row r="77" ht="15.75" customHeight="1">
      <c r="A77" s="35" t="s">
        <v>112</v>
      </c>
      <c r="B77" s="15">
        <f>C75-B76</f>
        <v>-186.4</v>
      </c>
      <c r="C77" s="37"/>
      <c r="D77" s="38"/>
      <c r="E77" s="25">
        <v>5.6</v>
      </c>
      <c r="F77" s="25">
        <v>35.0</v>
      </c>
      <c r="G77" s="25">
        <f t="shared" si="10"/>
        <v>2.028769841</v>
      </c>
      <c r="H77" s="3">
        <v>409.0</v>
      </c>
      <c r="I77" s="25" t="s">
        <v>59</v>
      </c>
      <c r="J77" s="29" t="s">
        <v>20</v>
      </c>
      <c r="K77" s="31">
        <v>49452.45</v>
      </c>
      <c r="L77" s="39">
        <f>K77+36</f>
        <v>49488.45</v>
      </c>
      <c r="M77" s="39">
        <v>49379.25</v>
      </c>
      <c r="N77" s="40">
        <v>46072.0</v>
      </c>
      <c r="O77" s="34">
        <v>0.9402777777777778</v>
      </c>
      <c r="P77" s="13"/>
    </row>
    <row r="78" ht="15.75" customHeight="1">
      <c r="C78" s="43"/>
      <c r="D78" s="38"/>
      <c r="E78" s="25"/>
      <c r="F78" s="25"/>
      <c r="G78" s="25"/>
      <c r="H78" s="13"/>
      <c r="I78" s="13"/>
      <c r="J78" s="32"/>
      <c r="K78" s="29"/>
      <c r="L78" s="39"/>
      <c r="M78" s="29"/>
      <c r="N78" s="40"/>
      <c r="O78" s="41"/>
      <c r="P78" s="13"/>
    </row>
    <row r="79" ht="15.75" customHeight="1">
      <c r="B79" s="3" t="s">
        <v>46</v>
      </c>
      <c r="C79" s="44">
        <f>SUM(G75:G85)</f>
        <v>-0.1394530105</v>
      </c>
      <c r="D79" s="38"/>
      <c r="E79" s="25"/>
      <c r="F79" s="25"/>
      <c r="G79" s="25"/>
      <c r="H79" s="13"/>
      <c r="I79" s="13"/>
      <c r="J79" s="13"/>
      <c r="K79" s="13"/>
      <c r="L79" s="39"/>
      <c r="M79" s="13"/>
      <c r="N79" s="40"/>
      <c r="O79" s="46"/>
      <c r="P79" s="13"/>
    </row>
    <row r="80" ht="15.75" customHeight="1">
      <c r="D80" s="38"/>
      <c r="E80" s="38"/>
      <c r="F80" s="38"/>
      <c r="G80" s="38"/>
      <c r="H80" s="38"/>
      <c r="I80" s="38"/>
      <c r="J80" s="38"/>
      <c r="K80" s="38"/>
      <c r="L80" s="55"/>
      <c r="M80" s="38"/>
      <c r="N80" s="38"/>
      <c r="O80" s="38"/>
      <c r="P80" s="38"/>
    </row>
    <row r="81" ht="15.75" customHeight="1">
      <c r="D81" s="38"/>
      <c r="E81" s="38"/>
      <c r="F81" s="38"/>
      <c r="G81" s="38"/>
      <c r="H81" s="38"/>
      <c r="I81" s="38"/>
      <c r="J81" s="38"/>
      <c r="K81" s="38"/>
      <c r="L81" s="55"/>
      <c r="M81" s="38"/>
      <c r="N81" s="38"/>
      <c r="O81" s="38"/>
      <c r="P81" s="38"/>
    </row>
    <row r="82" ht="15.75" customHeight="1">
      <c r="D82" s="38"/>
      <c r="E82" s="38"/>
      <c r="F82" s="38"/>
      <c r="G82" s="38"/>
      <c r="H82" s="38"/>
      <c r="I82" s="38"/>
      <c r="J82" s="38"/>
      <c r="K82" s="38"/>
      <c r="L82" s="55"/>
      <c r="M82" s="38"/>
      <c r="N82" s="38"/>
      <c r="O82" s="38"/>
      <c r="P82" s="38"/>
    </row>
    <row r="83" ht="15.75" customHeight="1">
      <c r="D83" s="38"/>
      <c r="E83" s="38"/>
      <c r="F83" s="38"/>
      <c r="G83" s="38"/>
      <c r="H83" s="38"/>
      <c r="I83" s="38"/>
      <c r="J83" s="38"/>
      <c r="K83" s="38"/>
      <c r="L83" s="55"/>
      <c r="M83" s="38"/>
      <c r="N83" s="38"/>
      <c r="O83" s="38"/>
      <c r="P83" s="38"/>
    </row>
    <row r="84" ht="15.75" customHeight="1">
      <c r="D84" s="38"/>
      <c r="E84" s="38"/>
      <c r="F84" s="38"/>
      <c r="G84" s="38"/>
      <c r="H84" s="38"/>
      <c r="I84" s="38"/>
      <c r="J84" s="38"/>
      <c r="K84" s="38"/>
      <c r="L84" s="55"/>
      <c r="M84" s="38"/>
      <c r="N84" s="38"/>
      <c r="O84" s="38"/>
      <c r="P84" s="38"/>
    </row>
    <row r="85" ht="15.75" customHeight="1">
      <c r="D85" s="38"/>
      <c r="E85" s="38"/>
      <c r="F85" s="38"/>
      <c r="G85" s="38"/>
      <c r="H85" s="38"/>
      <c r="I85" s="38"/>
      <c r="J85" s="38"/>
      <c r="K85" s="38"/>
      <c r="L85" s="55"/>
      <c r="M85" s="38"/>
      <c r="N85" s="38"/>
      <c r="O85" s="38"/>
      <c r="P85" s="38"/>
    </row>
    <row r="86" ht="15.75" customHeight="1">
      <c r="D86" s="38"/>
      <c r="E86" s="38"/>
      <c r="F86" s="38"/>
      <c r="G86" s="38"/>
      <c r="H86" s="38"/>
      <c r="I86" s="38"/>
      <c r="J86" s="38"/>
      <c r="K86" s="38"/>
      <c r="L86" s="55"/>
      <c r="M86" s="38"/>
      <c r="N86" s="38"/>
      <c r="O86" s="38"/>
      <c r="P86" s="38"/>
    </row>
    <row r="87" ht="15.75" customHeight="1">
      <c r="A87" s="21" t="s">
        <v>55</v>
      </c>
      <c r="B87" s="22"/>
      <c r="C87" s="23">
        <f>SUM(H87:H97)</f>
        <v>457.29</v>
      </c>
      <c r="D87" s="24"/>
      <c r="E87" s="25">
        <v>9.0</v>
      </c>
      <c r="F87" s="25">
        <v>25.0</v>
      </c>
      <c r="G87" s="25">
        <f t="shared" ref="G87:G91" si="11">H87 / ( ABS(L87-K87) * E87)</f>
        <v>0.878</v>
      </c>
      <c r="H87" s="25">
        <v>197.55</v>
      </c>
      <c r="I87" s="25" t="s">
        <v>59</v>
      </c>
      <c r="J87" s="13" t="s">
        <v>22</v>
      </c>
      <c r="K87" s="13">
        <v>24955.65</v>
      </c>
      <c r="L87" s="31">
        <f>K87-25</f>
        <v>24930.65</v>
      </c>
      <c r="M87" s="31">
        <v>24977.6</v>
      </c>
      <c r="N87" s="33">
        <v>46076.0</v>
      </c>
      <c r="O87" s="34">
        <v>0.9388888888888889</v>
      </c>
      <c r="P87" s="13" t="s">
        <v>355</v>
      </c>
    </row>
    <row r="88" ht="15.75" customHeight="1">
      <c r="A88" s="35" t="s">
        <v>73</v>
      </c>
      <c r="B88" s="36">
        <v>150.0</v>
      </c>
      <c r="C88" s="37"/>
      <c r="D88" s="38"/>
      <c r="E88" s="25">
        <v>5.5</v>
      </c>
      <c r="F88" s="25">
        <v>35.0</v>
      </c>
      <c r="G88" s="25">
        <f t="shared" si="11"/>
        <v>-0.918025974</v>
      </c>
      <c r="H88" s="13">
        <v>-176.72</v>
      </c>
      <c r="I88" s="13" t="s">
        <v>59</v>
      </c>
      <c r="J88" s="32" t="s">
        <v>60</v>
      </c>
      <c r="K88" s="3">
        <v>48860.4</v>
      </c>
      <c r="L88" s="39">
        <f>K88-35</f>
        <v>48825.4</v>
      </c>
      <c r="M88" s="29"/>
      <c r="N88" s="40">
        <v>46077.0</v>
      </c>
      <c r="O88" s="41">
        <v>0.9409722222222222</v>
      </c>
      <c r="P88" s="13" t="s">
        <v>356</v>
      </c>
    </row>
    <row r="89" ht="15.75" customHeight="1">
      <c r="A89" s="35" t="s">
        <v>112</v>
      </c>
      <c r="B89" s="15">
        <f>C87-B88</f>
        <v>307.29</v>
      </c>
      <c r="C89" s="37"/>
      <c r="D89" s="38"/>
      <c r="E89" s="25">
        <v>5.0</v>
      </c>
      <c r="F89" s="25">
        <v>40.0</v>
      </c>
      <c r="G89" s="25">
        <f t="shared" si="11"/>
        <v>1.6725</v>
      </c>
      <c r="H89" s="13">
        <v>334.5</v>
      </c>
      <c r="I89" s="25" t="s">
        <v>59</v>
      </c>
      <c r="J89" s="29" t="s">
        <v>60</v>
      </c>
      <c r="K89" s="29">
        <v>48964.51</v>
      </c>
      <c r="L89" s="39">
        <f>K89-40</f>
        <v>48924.51</v>
      </c>
      <c r="M89" s="39">
        <v>49031.41</v>
      </c>
      <c r="N89" s="40">
        <v>46077.0</v>
      </c>
      <c r="O89" s="34">
        <v>0.9388888888888889</v>
      </c>
      <c r="P89" s="13" t="s">
        <v>357</v>
      </c>
    </row>
    <row r="90" ht="15.75" customHeight="1">
      <c r="C90" s="43"/>
      <c r="D90" s="38"/>
      <c r="E90" s="25">
        <v>6.6</v>
      </c>
      <c r="F90" s="25">
        <v>30.0</v>
      </c>
      <c r="G90" s="25">
        <f t="shared" si="11"/>
        <v>-1.073686869</v>
      </c>
      <c r="H90" s="13">
        <v>-212.59</v>
      </c>
      <c r="I90" s="13" t="s">
        <v>59</v>
      </c>
      <c r="J90" s="32" t="s">
        <v>60</v>
      </c>
      <c r="K90" s="29">
        <v>49363.36</v>
      </c>
      <c r="L90" s="39">
        <f>K90+30</f>
        <v>49393.36</v>
      </c>
      <c r="M90" s="29"/>
      <c r="N90" s="40">
        <v>46078.0</v>
      </c>
      <c r="O90" s="41">
        <v>0.9395833333333333</v>
      </c>
      <c r="P90" s="13"/>
    </row>
    <row r="91" ht="15.75" customHeight="1">
      <c r="B91" s="3" t="s">
        <v>46</v>
      </c>
      <c r="C91" s="44">
        <f>SUM(G87:G97)</f>
        <v>2.306287157</v>
      </c>
      <c r="D91" s="38"/>
      <c r="E91" s="25">
        <v>9.0</v>
      </c>
      <c r="F91" s="25">
        <v>20.0</v>
      </c>
      <c r="G91" s="25">
        <f t="shared" si="11"/>
        <v>1.7475</v>
      </c>
      <c r="H91" s="13">
        <v>314.55</v>
      </c>
      <c r="I91" s="13" t="s">
        <v>59</v>
      </c>
      <c r="J91" s="13" t="s">
        <v>22</v>
      </c>
      <c r="K91" s="13">
        <v>25292.16</v>
      </c>
      <c r="L91" s="39">
        <f>K91+20</f>
        <v>25312.16</v>
      </c>
      <c r="M91" s="13">
        <v>25257.21</v>
      </c>
      <c r="N91" s="40">
        <v>46079.0</v>
      </c>
      <c r="O91" s="46">
        <v>0.9375</v>
      </c>
      <c r="P91" s="13"/>
    </row>
    <row r="92" ht="15.75" customHeight="1">
      <c r="D92" s="38"/>
      <c r="E92" s="38"/>
      <c r="F92" s="38"/>
      <c r="G92" s="38"/>
      <c r="H92" s="38"/>
      <c r="I92" s="38"/>
      <c r="J92" s="38"/>
      <c r="K92" s="38"/>
      <c r="L92" s="55"/>
      <c r="M92" s="38"/>
      <c r="N92" s="38"/>
      <c r="O92" s="38"/>
      <c r="P92" s="38"/>
    </row>
    <row r="93" ht="15.75" customHeight="1">
      <c r="D93" s="38"/>
      <c r="E93" s="38"/>
      <c r="F93" s="38"/>
      <c r="G93" s="38"/>
      <c r="H93" s="38"/>
      <c r="I93" s="38"/>
      <c r="J93" s="38"/>
      <c r="K93" s="38"/>
      <c r="L93" s="55"/>
      <c r="M93" s="38"/>
      <c r="N93" s="38"/>
      <c r="O93" s="38"/>
      <c r="P93" s="38"/>
    </row>
    <row r="94" ht="15.75" customHeight="1">
      <c r="D94" s="38"/>
      <c r="E94" s="38"/>
      <c r="F94" s="38"/>
      <c r="G94" s="38"/>
      <c r="H94" s="38"/>
      <c r="I94" s="38"/>
      <c r="J94" s="38"/>
      <c r="K94" s="38"/>
      <c r="L94" s="55"/>
      <c r="M94" s="38"/>
      <c r="N94" s="38"/>
      <c r="O94" s="38"/>
      <c r="P94" s="38"/>
    </row>
    <row r="95" ht="15.75" customHeight="1">
      <c r="A95" s="68"/>
      <c r="B95" s="68"/>
      <c r="C95" s="68"/>
      <c r="D95" s="69"/>
      <c r="E95" s="69"/>
      <c r="F95" s="69"/>
      <c r="G95" s="69"/>
      <c r="H95" s="69"/>
      <c r="I95" s="69"/>
      <c r="J95" s="69"/>
      <c r="K95" s="69"/>
      <c r="L95" s="70"/>
      <c r="M95" s="69"/>
      <c r="N95" s="69"/>
      <c r="O95" s="69"/>
      <c r="P95" s="69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5.75" customHeight="1">
      <c r="D96" s="38"/>
      <c r="E96" s="38"/>
      <c r="F96" s="38"/>
      <c r="G96" s="38"/>
      <c r="H96" s="38"/>
      <c r="I96" s="38"/>
      <c r="J96" s="38"/>
      <c r="K96" s="38"/>
      <c r="L96" s="55"/>
      <c r="M96" s="38"/>
      <c r="N96" s="38"/>
      <c r="O96" s="38"/>
      <c r="P96" s="38"/>
    </row>
    <row r="97" ht="15.75" customHeight="1">
      <c r="D97" s="38"/>
      <c r="E97" s="38"/>
      <c r="F97" s="38"/>
      <c r="G97" s="38"/>
      <c r="H97" s="38"/>
      <c r="I97" s="38"/>
      <c r="J97" s="38"/>
      <c r="K97" s="38"/>
      <c r="L97" s="55"/>
      <c r="M97" s="38"/>
      <c r="N97" s="38"/>
      <c r="O97" s="38"/>
      <c r="P97" s="38"/>
    </row>
    <row r="98" ht="15.75" customHeight="1">
      <c r="D98" s="38"/>
      <c r="E98" s="38"/>
      <c r="F98" s="38"/>
      <c r="G98" s="38"/>
      <c r="H98" s="38"/>
      <c r="I98" s="38"/>
      <c r="J98" s="38"/>
      <c r="K98" s="38"/>
      <c r="L98" s="55"/>
      <c r="M98" s="38"/>
      <c r="N98" s="38"/>
      <c r="O98" s="38"/>
      <c r="P98" s="38"/>
    </row>
    <row r="99" ht="15.75" customHeight="1">
      <c r="D99" s="38"/>
      <c r="E99" s="38"/>
      <c r="F99" s="38"/>
      <c r="G99" s="38"/>
      <c r="H99" s="38"/>
      <c r="I99" s="38"/>
      <c r="J99" s="38"/>
      <c r="K99" s="38"/>
      <c r="L99" s="55"/>
      <c r="M99" s="38"/>
      <c r="N99" s="38"/>
      <c r="O99" s="38"/>
      <c r="P99" s="38"/>
    </row>
    <row r="100" ht="15.75" customHeight="1">
      <c r="D100" s="38"/>
      <c r="E100" s="38"/>
      <c r="F100" s="38"/>
      <c r="G100" s="38"/>
      <c r="H100" s="38"/>
      <c r="I100" s="38"/>
      <c r="J100" s="38"/>
      <c r="K100" s="38"/>
      <c r="L100" s="55"/>
      <c r="M100" s="38"/>
      <c r="N100" s="38"/>
      <c r="O100" s="38"/>
      <c r="P100" s="38"/>
    </row>
    <row r="101" ht="15.75" customHeight="1">
      <c r="A101" s="71" t="s">
        <v>55</v>
      </c>
      <c r="B101" s="22"/>
      <c r="C101" s="23">
        <f>SUM(H101:H107)</f>
        <v>237.55</v>
      </c>
      <c r="D101" s="72"/>
      <c r="E101" s="73">
        <v>4.5</v>
      </c>
      <c r="F101" s="73">
        <v>45.0</v>
      </c>
      <c r="G101" s="25">
        <f t="shared" ref="G101:G105" si="12">H101 / ( ABS(L101-K101) * E101)</f>
        <v>0.1311111111</v>
      </c>
      <c r="H101" s="74">
        <v>26.55</v>
      </c>
      <c r="I101" s="75" t="s">
        <v>59</v>
      </c>
      <c r="J101" s="76" t="s">
        <v>60</v>
      </c>
      <c r="K101" s="3">
        <v>48558.55</v>
      </c>
      <c r="L101" s="77">
        <f t="shared" ref="L101:L102" si="13">K101-45</f>
        <v>48513.55</v>
      </c>
      <c r="M101" s="77"/>
      <c r="N101" s="78">
        <v>46083.0</v>
      </c>
      <c r="O101" s="79">
        <v>0.9409722222222222</v>
      </c>
      <c r="P101" s="76" t="s">
        <v>360</v>
      </c>
    </row>
    <row r="102" ht="15.75" customHeight="1">
      <c r="A102" s="80" t="s">
        <v>73</v>
      </c>
      <c r="B102" s="81">
        <v>150.0</v>
      </c>
      <c r="C102" s="37"/>
      <c r="D102" s="82"/>
      <c r="E102" s="73">
        <v>4.0</v>
      </c>
      <c r="F102" s="73">
        <v>50.0</v>
      </c>
      <c r="G102" s="25">
        <f t="shared" si="12"/>
        <v>0.6111111111</v>
      </c>
      <c r="H102" s="74">
        <v>110.0</v>
      </c>
      <c r="I102" s="76" t="s">
        <v>59</v>
      </c>
      <c r="J102" s="83" t="s">
        <v>60</v>
      </c>
      <c r="K102" s="3">
        <v>48591.6</v>
      </c>
      <c r="L102" s="77">
        <f t="shared" si="13"/>
        <v>48546.6</v>
      </c>
      <c r="M102" s="84">
        <v>48619.1</v>
      </c>
      <c r="N102" s="78">
        <v>46083.0</v>
      </c>
      <c r="O102" s="85">
        <v>0.94375</v>
      </c>
      <c r="P102" s="76" t="s">
        <v>360</v>
      </c>
    </row>
    <row r="103" ht="15.75" customHeight="1">
      <c r="A103" s="80" t="s">
        <v>112</v>
      </c>
      <c r="B103" s="86">
        <f>C101-B102</f>
        <v>87.55</v>
      </c>
      <c r="C103" s="37"/>
      <c r="D103" s="82"/>
      <c r="E103" s="73">
        <v>5.0</v>
      </c>
      <c r="F103" s="73">
        <v>40.0</v>
      </c>
      <c r="G103" s="25">
        <f t="shared" si="12"/>
        <v>-1.01</v>
      </c>
      <c r="H103" s="74">
        <v>-202.0</v>
      </c>
      <c r="I103" s="87" t="s">
        <v>59</v>
      </c>
      <c r="J103" s="88" t="s">
        <v>22</v>
      </c>
      <c r="K103" s="89">
        <v>24586.88</v>
      </c>
      <c r="L103" s="90">
        <f>K103-40</f>
        <v>24546.88</v>
      </c>
      <c r="M103" s="90"/>
      <c r="N103" s="91">
        <v>46084.0</v>
      </c>
      <c r="O103" s="79">
        <v>0.9388888888888889</v>
      </c>
      <c r="P103" s="76" t="s">
        <v>361</v>
      </c>
    </row>
    <row r="104" ht="15.75" customHeight="1">
      <c r="A104" s="92"/>
      <c r="B104" s="92"/>
      <c r="C104" s="43"/>
      <c r="D104" s="82"/>
      <c r="E104" s="73">
        <v>3.3</v>
      </c>
      <c r="F104" s="73">
        <v>60.0</v>
      </c>
      <c r="G104" s="25">
        <f t="shared" si="12"/>
        <v>0.9141414141</v>
      </c>
      <c r="H104" s="74">
        <v>181.0</v>
      </c>
      <c r="I104" s="76" t="s">
        <v>59</v>
      </c>
      <c r="J104" s="83" t="s">
        <v>60</v>
      </c>
      <c r="K104" s="89">
        <v>48561.43</v>
      </c>
      <c r="L104" s="93">
        <f>K104+60</f>
        <v>48621.43</v>
      </c>
      <c r="M104" s="82"/>
      <c r="N104" s="91">
        <v>46085.0</v>
      </c>
      <c r="O104" s="85">
        <v>0.9402777777777778</v>
      </c>
      <c r="P104" s="84" t="s">
        <v>362</v>
      </c>
    </row>
    <row r="105" ht="15.75" customHeight="1">
      <c r="A105" s="92"/>
      <c r="B105" s="92" t="s">
        <v>46</v>
      </c>
      <c r="C105" s="44">
        <f>SUM(G101:G107)</f>
        <v>1.324141414</v>
      </c>
      <c r="D105" s="82"/>
      <c r="E105" s="73">
        <v>6.0</v>
      </c>
      <c r="F105" s="73">
        <v>30.0</v>
      </c>
      <c r="G105" s="25">
        <f t="shared" si="12"/>
        <v>0.6777777778</v>
      </c>
      <c r="H105" s="74">
        <v>122.0</v>
      </c>
      <c r="I105" s="76" t="s">
        <v>59</v>
      </c>
      <c r="J105" s="76" t="s">
        <v>22</v>
      </c>
      <c r="K105" s="94">
        <v>25052.03</v>
      </c>
      <c r="L105" s="90">
        <f>K105-30</f>
        <v>25022.03</v>
      </c>
      <c r="M105" s="94">
        <v>25072.48</v>
      </c>
      <c r="N105" s="91">
        <v>46086.0</v>
      </c>
      <c r="O105" s="95">
        <v>0.9388888888888889</v>
      </c>
      <c r="P105" s="84" t="s">
        <v>363</v>
      </c>
    </row>
    <row r="106" ht="15.75" customHeight="1">
      <c r="D106" s="38"/>
      <c r="E106" s="38"/>
      <c r="F106" s="38"/>
      <c r="G106" s="38"/>
      <c r="H106" s="38"/>
      <c r="I106" s="38"/>
      <c r="J106" s="38"/>
      <c r="K106" s="38"/>
      <c r="L106" s="55"/>
      <c r="M106" s="38"/>
      <c r="N106" s="38"/>
      <c r="O106" s="38"/>
      <c r="P106" s="38"/>
    </row>
    <row r="107" ht="15.75" customHeight="1">
      <c r="D107" s="38"/>
      <c r="E107" s="38"/>
      <c r="F107" s="38"/>
      <c r="G107" s="38"/>
      <c r="H107" s="38"/>
      <c r="I107" s="38"/>
      <c r="J107" s="38"/>
      <c r="K107" s="38"/>
      <c r="L107" s="55"/>
      <c r="M107" s="38"/>
      <c r="N107" s="38"/>
      <c r="O107" s="38"/>
      <c r="P107" s="38"/>
    </row>
    <row r="108" ht="15.75" customHeight="1">
      <c r="D108" s="38"/>
      <c r="E108" s="38"/>
      <c r="F108" s="38"/>
      <c r="G108" s="38"/>
      <c r="H108" s="38"/>
      <c r="I108" s="38"/>
      <c r="J108" s="38"/>
      <c r="K108" s="38"/>
      <c r="L108" s="55"/>
      <c r="M108" s="38"/>
      <c r="N108" s="38"/>
      <c r="O108" s="38"/>
      <c r="P108" s="38"/>
    </row>
    <row r="109" ht="15.75" customHeight="1">
      <c r="A109" s="71" t="s">
        <v>55</v>
      </c>
      <c r="B109" s="22"/>
      <c r="C109" s="23">
        <f>SUM(H109:H119)</f>
        <v>-408.11</v>
      </c>
      <c r="D109" s="72"/>
      <c r="E109" s="73">
        <v>3.5</v>
      </c>
      <c r="F109" s="73">
        <v>60.0</v>
      </c>
      <c r="G109" s="25">
        <f t="shared" ref="G109:G113" si="14">H109 / ( ABS(L109-K109) * E109)</f>
        <v>-0.980952381</v>
      </c>
      <c r="H109" s="74">
        <v>-206.0</v>
      </c>
      <c r="I109" s="87" t="s">
        <v>59</v>
      </c>
      <c r="J109" s="76" t="s">
        <v>60</v>
      </c>
      <c r="K109" s="3">
        <v>47109.55</v>
      </c>
      <c r="L109" s="97">
        <f>K109-60</f>
        <v>47049.55</v>
      </c>
      <c r="M109" s="77"/>
      <c r="N109" s="78">
        <v>46090.0</v>
      </c>
      <c r="O109" s="79">
        <v>0.8965277777777778</v>
      </c>
      <c r="P109" s="76" t="s">
        <v>365</v>
      </c>
    </row>
    <row r="110" ht="15.75" customHeight="1">
      <c r="A110" s="80" t="s">
        <v>73</v>
      </c>
      <c r="B110" s="81">
        <v>150.0</v>
      </c>
      <c r="C110" s="37"/>
      <c r="D110" s="82"/>
      <c r="E110" s="73">
        <v>5.8</v>
      </c>
      <c r="F110" s="73">
        <v>35.0</v>
      </c>
      <c r="G110" s="25">
        <f t="shared" si="14"/>
        <v>-1.049261084</v>
      </c>
      <c r="H110" s="74">
        <v>-213.0</v>
      </c>
      <c r="I110" s="76" t="s">
        <v>59</v>
      </c>
      <c r="J110" s="83" t="s">
        <v>22</v>
      </c>
      <c r="K110" s="3">
        <v>24969.31</v>
      </c>
      <c r="L110" s="77">
        <f>K110+35</f>
        <v>25004.31</v>
      </c>
      <c r="M110" s="84"/>
      <c r="N110" s="78">
        <v>46091.0</v>
      </c>
      <c r="O110" s="85">
        <v>0.9048611111111111</v>
      </c>
      <c r="P110" s="76" t="s">
        <v>366</v>
      </c>
    </row>
    <row r="111" ht="15.75" customHeight="1">
      <c r="A111" s="80" t="s">
        <v>112</v>
      </c>
      <c r="B111" s="86">
        <f>C109-B110</f>
        <v>-558.11</v>
      </c>
      <c r="C111" s="37"/>
      <c r="D111" s="82"/>
      <c r="E111" s="73">
        <v>4.0</v>
      </c>
      <c r="F111" s="73">
        <v>60.0</v>
      </c>
      <c r="G111" s="25">
        <f t="shared" si="14"/>
        <v>0</v>
      </c>
      <c r="H111" s="74">
        <v>0.0</v>
      </c>
      <c r="I111" s="87" t="s">
        <v>59</v>
      </c>
      <c r="J111" s="88" t="s">
        <v>60</v>
      </c>
      <c r="K111" s="89">
        <v>47752.55</v>
      </c>
      <c r="L111" s="90">
        <f>K111-60</f>
        <v>47692.55</v>
      </c>
      <c r="M111" s="90"/>
      <c r="N111" s="91">
        <v>46091.0</v>
      </c>
      <c r="O111" s="79">
        <v>0.8965277777777778</v>
      </c>
      <c r="P111" s="76" t="s">
        <v>369</v>
      </c>
    </row>
    <row r="112" ht="15.75" customHeight="1">
      <c r="A112" s="92"/>
      <c r="B112" s="92"/>
      <c r="C112" s="43"/>
      <c r="D112" s="82"/>
      <c r="E112" s="73">
        <v>3.5</v>
      </c>
      <c r="F112" s="73">
        <v>60.0</v>
      </c>
      <c r="G112" s="25">
        <f t="shared" si="14"/>
        <v>-0.7142857143</v>
      </c>
      <c r="H112" s="74">
        <v>-150.0</v>
      </c>
      <c r="I112" s="76" t="s">
        <v>59</v>
      </c>
      <c r="J112" s="83" t="s">
        <v>60</v>
      </c>
      <c r="K112" s="89">
        <v>47621.45</v>
      </c>
      <c r="L112" s="93">
        <f>K112+60</f>
        <v>47681.45</v>
      </c>
      <c r="M112" s="82"/>
      <c r="N112" s="91">
        <v>46092.0</v>
      </c>
      <c r="O112" s="85">
        <v>0.9006944444444445</v>
      </c>
      <c r="P112" s="84" t="s">
        <v>370</v>
      </c>
    </row>
    <row r="113" ht="15.75" customHeight="1">
      <c r="A113" s="92"/>
      <c r="B113" s="92" t="s">
        <v>46</v>
      </c>
      <c r="C113" s="44">
        <f>SUM(G109:G119)</f>
        <v>-2.003070608</v>
      </c>
      <c r="D113" s="82"/>
      <c r="E113" s="73">
        <v>3.1</v>
      </c>
      <c r="F113" s="73">
        <v>70.0</v>
      </c>
      <c r="G113" s="25">
        <f t="shared" si="14"/>
        <v>0.7414285714</v>
      </c>
      <c r="H113" s="74">
        <v>160.89</v>
      </c>
      <c r="I113" s="76" t="s">
        <v>59</v>
      </c>
      <c r="J113" s="76" t="s">
        <v>60</v>
      </c>
      <c r="K113" s="94">
        <v>47532.45</v>
      </c>
      <c r="L113" s="90">
        <f>K113+70</f>
        <v>47602.45</v>
      </c>
      <c r="M113" s="94"/>
      <c r="N113" s="91">
        <v>46092.0</v>
      </c>
      <c r="O113" s="95">
        <v>0.9055555555555556</v>
      </c>
      <c r="P113" s="84"/>
    </row>
    <row r="114" ht="15.75" customHeight="1">
      <c r="D114" s="38"/>
      <c r="E114" s="38"/>
      <c r="F114" s="38"/>
      <c r="G114" s="38"/>
      <c r="H114" s="38"/>
      <c r="I114" s="38"/>
      <c r="J114" s="38"/>
      <c r="K114" s="38"/>
      <c r="L114" s="55"/>
      <c r="M114" s="38"/>
      <c r="N114" s="50">
        <v>46093.0</v>
      </c>
      <c r="O114" s="38"/>
      <c r="P114" s="13" t="s">
        <v>373</v>
      </c>
    </row>
    <row r="115" ht="15.75" customHeight="1">
      <c r="D115" s="38"/>
      <c r="E115" s="38"/>
      <c r="F115" s="38"/>
      <c r="G115" s="38"/>
      <c r="H115" s="38"/>
      <c r="I115" s="38"/>
      <c r="J115" s="38"/>
      <c r="K115" s="38"/>
      <c r="L115" s="55"/>
      <c r="M115" s="38"/>
      <c r="N115" s="38"/>
      <c r="O115" s="38"/>
      <c r="P115" s="38"/>
    </row>
    <row r="116" ht="15.75" customHeight="1">
      <c r="D116" s="38"/>
      <c r="E116" s="38"/>
      <c r="F116" s="38"/>
      <c r="G116" s="38"/>
      <c r="H116" s="38"/>
      <c r="I116" s="38"/>
      <c r="J116" s="38"/>
      <c r="K116" s="38"/>
      <c r="L116" s="55"/>
      <c r="M116" s="38"/>
      <c r="N116" s="38"/>
      <c r="O116" s="38"/>
      <c r="P116" s="38"/>
    </row>
    <row r="117" ht="15.75" customHeight="1">
      <c r="D117" s="38"/>
      <c r="E117" s="38"/>
      <c r="F117" s="38"/>
      <c r="G117" s="38"/>
      <c r="H117" s="38"/>
      <c r="I117" s="38"/>
      <c r="J117" s="38"/>
      <c r="K117" s="38"/>
      <c r="L117" s="55"/>
      <c r="M117" s="38"/>
      <c r="N117" s="38"/>
      <c r="O117" s="38"/>
      <c r="P117" s="38"/>
    </row>
    <row r="118" ht="15.75" customHeight="1">
      <c r="D118" s="38"/>
      <c r="E118" s="38"/>
      <c r="F118" s="38"/>
      <c r="G118" s="38"/>
      <c r="H118" s="38"/>
      <c r="I118" s="38"/>
      <c r="J118" s="38"/>
      <c r="K118" s="38"/>
      <c r="L118" s="55"/>
      <c r="M118" s="38"/>
      <c r="N118" s="38"/>
      <c r="O118" s="38"/>
      <c r="P118" s="38"/>
    </row>
    <row r="119" ht="15.75" customHeight="1">
      <c r="D119" s="38"/>
      <c r="E119" s="38"/>
      <c r="F119" s="38"/>
      <c r="G119" s="38"/>
      <c r="H119" s="38"/>
      <c r="I119" s="38"/>
      <c r="J119" s="38"/>
      <c r="K119" s="38"/>
      <c r="L119" s="55"/>
      <c r="M119" s="38"/>
      <c r="N119" s="38"/>
      <c r="O119" s="38"/>
      <c r="P119" s="38"/>
    </row>
    <row r="120" ht="15.75" customHeight="1">
      <c r="A120" s="71" t="s">
        <v>55</v>
      </c>
      <c r="B120" s="22"/>
      <c r="C120" s="23">
        <f>SUM(H120:H126)</f>
        <v>26.54</v>
      </c>
      <c r="D120" s="72"/>
      <c r="E120" s="73">
        <v>5.6</v>
      </c>
      <c r="F120" s="73">
        <v>40.0</v>
      </c>
      <c r="G120" s="25">
        <f t="shared" ref="G120:G125" si="15">H120 / ( ABS(L120-K120) * E120)</f>
        <v>-0.9285714286</v>
      </c>
      <c r="H120" s="106">
        <v>-208.0</v>
      </c>
      <c r="I120" s="87" t="s">
        <v>59</v>
      </c>
      <c r="J120" s="76" t="s">
        <v>60</v>
      </c>
      <c r="K120" s="107">
        <v>46990.58</v>
      </c>
      <c r="L120" s="77">
        <f>K120-40</f>
        <v>46950.58</v>
      </c>
      <c r="M120" s="108"/>
      <c r="N120" s="78">
        <v>46097.0</v>
      </c>
      <c r="O120" s="79">
        <v>0.8965277777777778</v>
      </c>
      <c r="P120" s="76" t="s">
        <v>384</v>
      </c>
    </row>
    <row r="121" ht="15.75" customHeight="1">
      <c r="A121" s="80" t="s">
        <v>73</v>
      </c>
      <c r="B121" s="81">
        <v>150.0</v>
      </c>
      <c r="C121" s="37"/>
      <c r="D121" s="82"/>
      <c r="E121" s="73">
        <v>9.0</v>
      </c>
      <c r="F121" s="73">
        <v>20.0</v>
      </c>
      <c r="G121" s="25">
        <f t="shared" si="15"/>
        <v>0</v>
      </c>
      <c r="H121" s="74">
        <v>0.0</v>
      </c>
      <c r="I121" s="76" t="s">
        <v>59</v>
      </c>
      <c r="J121" s="83" t="s">
        <v>22</v>
      </c>
      <c r="K121" s="107">
        <v>24710.95</v>
      </c>
      <c r="L121" s="77">
        <f>K121-20</f>
        <v>24690.95</v>
      </c>
      <c r="M121" s="82"/>
      <c r="N121" s="78">
        <v>46097.0</v>
      </c>
      <c r="O121" s="85">
        <v>0.8979166666666667</v>
      </c>
      <c r="P121" s="76" t="s">
        <v>387</v>
      </c>
    </row>
    <row r="122" ht="15.75" customHeight="1">
      <c r="A122" s="80" t="s">
        <v>112</v>
      </c>
      <c r="B122" s="86">
        <f>C120-B121</f>
        <v>-123.46</v>
      </c>
      <c r="C122" s="37"/>
      <c r="D122" s="82"/>
      <c r="E122" s="73">
        <v>8.5</v>
      </c>
      <c r="F122" s="73">
        <v>25.0</v>
      </c>
      <c r="G122" s="25">
        <f t="shared" si="15"/>
        <v>1.568</v>
      </c>
      <c r="H122" s="74">
        <v>333.2</v>
      </c>
      <c r="I122" s="87" t="s">
        <v>59</v>
      </c>
      <c r="J122" s="88" t="s">
        <v>22</v>
      </c>
      <c r="K122" s="89">
        <v>24697.45</v>
      </c>
      <c r="L122" s="90">
        <f>K122-25</f>
        <v>24672.45</v>
      </c>
      <c r="M122" s="113">
        <v>24736.65</v>
      </c>
      <c r="N122" s="78">
        <v>46097.0</v>
      </c>
      <c r="O122" s="79">
        <v>0.9034722222222222</v>
      </c>
      <c r="P122" s="115"/>
    </row>
    <row r="123" ht="15.75" customHeight="1">
      <c r="A123" s="92"/>
      <c r="B123" s="92"/>
      <c r="C123" s="43"/>
      <c r="D123" s="82"/>
      <c r="E123" s="73">
        <v>3.2</v>
      </c>
      <c r="F123" s="73">
        <v>60.0</v>
      </c>
      <c r="G123" s="25">
        <f t="shared" si="15"/>
        <v>-1.068333333</v>
      </c>
      <c r="H123" s="106">
        <v>-205.12</v>
      </c>
      <c r="I123" s="76" t="s">
        <v>59</v>
      </c>
      <c r="J123" s="83" t="s">
        <v>60</v>
      </c>
      <c r="K123" s="89">
        <v>46904.56</v>
      </c>
      <c r="L123" s="90">
        <f>K123-60</f>
        <v>46844.56</v>
      </c>
      <c r="M123" s="82"/>
      <c r="N123" s="91">
        <v>46099.0</v>
      </c>
      <c r="O123" s="85">
        <v>0.9069444444444444</v>
      </c>
      <c r="P123" s="84" t="s">
        <v>390</v>
      </c>
    </row>
    <row r="124" ht="15.75" customHeight="1">
      <c r="A124" s="92"/>
      <c r="B124" s="92" t="s">
        <v>46</v>
      </c>
      <c r="C124" s="44">
        <f>SUM(G120:G126)</f>
        <v>0.09807936508</v>
      </c>
      <c r="D124" s="82"/>
      <c r="E124" s="73">
        <v>2.8</v>
      </c>
      <c r="F124" s="73">
        <v>70.0</v>
      </c>
      <c r="G124" s="25">
        <f t="shared" si="15"/>
        <v>-1.058571429</v>
      </c>
      <c r="H124" s="74">
        <v>-207.48</v>
      </c>
      <c r="I124" s="76" t="s">
        <v>59</v>
      </c>
      <c r="J124" s="76" t="s">
        <v>60</v>
      </c>
      <c r="K124" s="94">
        <v>46771.46</v>
      </c>
      <c r="L124" s="90">
        <f>K124+70</f>
        <v>46841.46</v>
      </c>
      <c r="M124" s="82"/>
      <c r="N124" s="91">
        <v>46099.0</v>
      </c>
      <c r="O124" s="95">
        <v>0.9201388888888888</v>
      </c>
      <c r="P124" s="84" t="s">
        <v>393</v>
      </c>
    </row>
    <row r="125" ht="15.75" customHeight="1">
      <c r="A125" s="92"/>
      <c r="B125" s="92"/>
      <c r="C125" s="92"/>
      <c r="D125" s="82"/>
      <c r="E125" s="84">
        <v>4.4</v>
      </c>
      <c r="F125" s="84">
        <v>45.0</v>
      </c>
      <c r="G125" s="25">
        <f t="shared" si="15"/>
        <v>1.585555556</v>
      </c>
      <c r="H125" s="84">
        <v>313.94</v>
      </c>
      <c r="I125" s="84" t="s">
        <v>59</v>
      </c>
      <c r="J125" s="84" t="s">
        <v>22</v>
      </c>
      <c r="K125" s="84">
        <v>24237.45</v>
      </c>
      <c r="L125" s="120">
        <f>K125-45</f>
        <v>24192.45</v>
      </c>
      <c r="M125" s="84">
        <v>24308.8</v>
      </c>
      <c r="N125" s="121">
        <v>46100.0</v>
      </c>
      <c r="O125" s="122">
        <v>0.9048611111111111</v>
      </c>
      <c r="P125" s="115"/>
    </row>
    <row r="126" ht="15.75" customHeight="1">
      <c r="D126" s="38"/>
      <c r="E126" s="38"/>
      <c r="F126" s="38"/>
      <c r="G126" s="38"/>
      <c r="H126" s="13" t="s">
        <v>387</v>
      </c>
      <c r="I126" s="38"/>
      <c r="J126" s="38"/>
      <c r="K126" s="38"/>
      <c r="L126" s="55"/>
      <c r="M126" s="38"/>
      <c r="N126" s="38"/>
      <c r="O126" s="38"/>
      <c r="P126" s="38"/>
    </row>
    <row r="127" ht="15.75" customHeight="1">
      <c r="D127" s="38"/>
      <c r="E127" s="38"/>
      <c r="F127" s="38"/>
      <c r="G127" s="38"/>
      <c r="H127" s="38"/>
      <c r="I127" s="38"/>
      <c r="J127" s="38"/>
      <c r="K127" s="38"/>
      <c r="L127" s="55"/>
      <c r="M127" s="38"/>
      <c r="N127" s="38"/>
      <c r="O127" s="38"/>
      <c r="P127" s="38"/>
    </row>
    <row r="128" ht="15.75" customHeight="1">
      <c r="D128" s="38"/>
      <c r="E128" s="38"/>
      <c r="F128" s="38"/>
      <c r="G128" s="38"/>
      <c r="H128" s="38"/>
      <c r="I128" s="38"/>
      <c r="J128" s="38"/>
      <c r="K128" s="38"/>
      <c r="L128" s="55"/>
      <c r="M128" s="38"/>
      <c r="N128" s="38"/>
      <c r="O128" s="38"/>
      <c r="P128" s="38"/>
    </row>
    <row r="129" ht="15.75" customHeight="1">
      <c r="D129" s="38"/>
      <c r="E129" s="38"/>
      <c r="F129" s="38"/>
      <c r="G129" s="38"/>
      <c r="H129" s="38"/>
      <c r="I129" s="38"/>
      <c r="J129" s="38"/>
      <c r="K129" s="38"/>
      <c r="L129" s="55"/>
      <c r="M129" s="38"/>
      <c r="N129" s="38"/>
      <c r="O129" s="38"/>
      <c r="P129" s="38"/>
    </row>
    <row r="130" ht="15.75" customHeight="1">
      <c r="D130" s="38"/>
      <c r="E130" s="38"/>
      <c r="F130" s="38"/>
      <c r="G130" s="38"/>
      <c r="H130" s="38"/>
      <c r="I130" s="38"/>
      <c r="J130" s="38"/>
      <c r="K130" s="38"/>
      <c r="L130" s="55"/>
      <c r="M130" s="38"/>
      <c r="N130" s="38"/>
      <c r="O130" s="38"/>
      <c r="P130" s="38"/>
    </row>
    <row r="131" ht="15.75" customHeight="1">
      <c r="D131" s="38"/>
      <c r="E131" s="38"/>
      <c r="F131" s="38"/>
      <c r="G131" s="38"/>
      <c r="H131" s="38"/>
      <c r="I131" s="38"/>
      <c r="J131" s="38"/>
      <c r="K131" s="38"/>
      <c r="L131" s="55"/>
      <c r="M131" s="38"/>
      <c r="N131" s="38"/>
      <c r="O131" s="38"/>
      <c r="P131" s="38"/>
    </row>
    <row r="132" ht="15.75" customHeight="1">
      <c r="D132" s="38"/>
      <c r="E132" s="38"/>
      <c r="F132" s="38"/>
      <c r="G132" s="38"/>
      <c r="H132" s="38"/>
      <c r="I132" s="38"/>
      <c r="J132" s="38"/>
      <c r="K132" s="38"/>
      <c r="L132" s="55"/>
      <c r="M132" s="38"/>
      <c r="N132" s="38"/>
      <c r="O132" s="38"/>
      <c r="P132" s="38"/>
    </row>
    <row r="133" ht="15.75" customHeight="1">
      <c r="D133" s="38"/>
      <c r="E133" s="38"/>
      <c r="F133" s="38"/>
      <c r="G133" s="38"/>
      <c r="H133" s="38"/>
      <c r="I133" s="38"/>
      <c r="J133" s="38"/>
      <c r="K133" s="38"/>
      <c r="L133" s="55"/>
      <c r="M133" s="38"/>
      <c r="N133" s="38"/>
      <c r="O133" s="38"/>
      <c r="P133" s="38"/>
    </row>
    <row r="134" ht="15.75" customHeight="1">
      <c r="A134" s="71" t="s">
        <v>55</v>
      </c>
      <c r="B134" s="22"/>
      <c r="C134" s="23">
        <f>SUM(H134:H140)</f>
        <v>-246.97</v>
      </c>
      <c r="D134" s="72"/>
      <c r="E134" s="84">
        <v>4.4</v>
      </c>
      <c r="F134" s="73">
        <v>71.0</v>
      </c>
      <c r="G134" s="25">
        <f t="shared" ref="G134:G139" si="16">H134 / ( ABS(L134-K134) * E134)</f>
        <v>0.2919654289</v>
      </c>
      <c r="H134" s="106">
        <v>91.21</v>
      </c>
      <c r="I134" s="87" t="s">
        <v>59</v>
      </c>
      <c r="J134" s="76" t="s">
        <v>22</v>
      </c>
      <c r="K134" s="107">
        <v>24343.5</v>
      </c>
      <c r="L134" s="77">
        <f>K134-71</f>
        <v>24272.5</v>
      </c>
      <c r="M134" s="128">
        <v>24374.95</v>
      </c>
      <c r="N134" s="78">
        <v>46104.0</v>
      </c>
      <c r="O134" s="79">
        <v>0.9041666666666667</v>
      </c>
      <c r="P134" s="76" t="s">
        <v>409</v>
      </c>
    </row>
    <row r="135" ht="15.75" customHeight="1">
      <c r="A135" s="80" t="s">
        <v>73</v>
      </c>
      <c r="B135" s="81">
        <v>150.0</v>
      </c>
      <c r="C135" s="37"/>
      <c r="D135" s="82"/>
      <c r="E135" s="73">
        <v>3.0</v>
      </c>
      <c r="F135" s="73">
        <v>65.0</v>
      </c>
      <c r="G135" s="25">
        <f t="shared" si="16"/>
        <v>-1.078461538</v>
      </c>
      <c r="H135" s="74">
        <v>-210.3</v>
      </c>
      <c r="I135" s="76" t="s">
        <v>59</v>
      </c>
      <c r="J135" s="83" t="s">
        <v>60</v>
      </c>
      <c r="K135" s="107">
        <v>45945.55</v>
      </c>
      <c r="L135" s="77">
        <f>K135-65</f>
        <v>45880.55</v>
      </c>
      <c r="M135" s="82"/>
      <c r="N135" s="78">
        <v>46105.0</v>
      </c>
      <c r="O135" s="85">
        <v>0.8993055555555556</v>
      </c>
      <c r="P135" s="76" t="s">
        <v>413</v>
      </c>
    </row>
    <row r="136" ht="15.75" customHeight="1">
      <c r="A136" s="80" t="s">
        <v>112</v>
      </c>
      <c r="B136" s="86">
        <f>C134-B135</f>
        <v>-396.97</v>
      </c>
      <c r="C136" s="37"/>
      <c r="D136" s="82"/>
      <c r="E136" s="73">
        <v>4.3</v>
      </c>
      <c r="F136" s="73">
        <v>50.0</v>
      </c>
      <c r="G136" s="25">
        <f t="shared" si="16"/>
        <v>-1.116</v>
      </c>
      <c r="H136" s="74">
        <v>-239.94</v>
      </c>
      <c r="I136" s="87" t="s">
        <v>59</v>
      </c>
      <c r="J136" s="88" t="s">
        <v>22</v>
      </c>
      <c r="K136" s="89">
        <v>23971.51</v>
      </c>
      <c r="L136" s="90">
        <f>K136+50</f>
        <v>24021.51</v>
      </c>
      <c r="M136" s="113"/>
      <c r="N136" s="78">
        <v>46105.0</v>
      </c>
      <c r="O136" s="79">
        <v>0.9104166666666667</v>
      </c>
      <c r="P136" s="76" t="s">
        <v>413</v>
      </c>
    </row>
    <row r="137" ht="15.75" customHeight="1">
      <c r="A137" s="92"/>
      <c r="B137" s="92"/>
      <c r="C137" s="43"/>
      <c r="D137" s="82"/>
      <c r="E137" s="73">
        <v>2.2</v>
      </c>
      <c r="F137" s="73">
        <v>75.0</v>
      </c>
      <c r="G137" s="25">
        <f t="shared" si="16"/>
        <v>-0.8546666667</v>
      </c>
      <c r="H137" s="106">
        <v>-141.02</v>
      </c>
      <c r="I137" s="76" t="s">
        <v>59</v>
      </c>
      <c r="J137" s="83" t="s">
        <v>60</v>
      </c>
      <c r="K137" s="89">
        <v>46726.57</v>
      </c>
      <c r="L137" s="90">
        <f>K137-75</f>
        <v>46651.57</v>
      </c>
      <c r="M137" s="82"/>
      <c r="N137" s="91">
        <v>46106.0</v>
      </c>
      <c r="O137" s="85">
        <v>0.9104166666666667</v>
      </c>
      <c r="P137" s="84" t="s">
        <v>419</v>
      </c>
    </row>
    <row r="138" ht="15.75" customHeight="1">
      <c r="A138" s="92"/>
      <c r="B138" s="92" t="s">
        <v>46</v>
      </c>
      <c r="C138" s="44">
        <f>SUM(G134:G140)</f>
        <v>-0.5816627762</v>
      </c>
      <c r="D138" s="82"/>
      <c r="E138" s="73">
        <v>3.4</v>
      </c>
      <c r="F138" s="73">
        <v>25.0</v>
      </c>
      <c r="G138" s="25">
        <f t="shared" si="16"/>
        <v>0.228</v>
      </c>
      <c r="H138" s="74">
        <v>19.38</v>
      </c>
      <c r="I138" s="76" t="s">
        <v>59</v>
      </c>
      <c r="J138" s="76" t="s">
        <v>22</v>
      </c>
      <c r="K138" s="89">
        <v>24207.81</v>
      </c>
      <c r="L138" s="90">
        <f>K138+25</f>
        <v>24232.81</v>
      </c>
      <c r="M138" s="84">
        <v>24202.11</v>
      </c>
      <c r="N138" s="91">
        <v>46106.0</v>
      </c>
      <c r="O138" s="95">
        <v>0.8993055555555556</v>
      </c>
      <c r="P138" s="84"/>
    </row>
    <row r="139" ht="15.75" customHeight="1">
      <c r="A139" s="92"/>
      <c r="B139" s="92"/>
      <c r="C139" s="92"/>
      <c r="D139" s="82"/>
      <c r="E139" s="84">
        <v>3.0</v>
      </c>
      <c r="F139" s="84">
        <v>40.0</v>
      </c>
      <c r="G139" s="25">
        <f t="shared" si="16"/>
        <v>1.9475</v>
      </c>
      <c r="H139" s="84">
        <v>233.7</v>
      </c>
      <c r="I139" s="84" t="s">
        <v>59</v>
      </c>
      <c r="J139" s="84" t="s">
        <v>60</v>
      </c>
      <c r="K139" s="84">
        <v>46228.55</v>
      </c>
      <c r="L139" s="120">
        <f>K139-40</f>
        <v>46188.55</v>
      </c>
      <c r="M139" s="84">
        <v>46306.45</v>
      </c>
      <c r="N139" s="121">
        <v>46107.0</v>
      </c>
      <c r="O139" s="122">
        <v>0.9041666666666667</v>
      </c>
      <c r="P139" s="76" t="s">
        <v>423</v>
      </c>
    </row>
    <row r="140" ht="15.75" customHeight="1">
      <c r="D140" s="38"/>
      <c r="E140" s="38"/>
      <c r="F140" s="38"/>
      <c r="G140" s="38"/>
      <c r="H140" s="38"/>
      <c r="I140" s="38"/>
      <c r="J140" s="38"/>
      <c r="K140" s="38"/>
      <c r="L140" s="55"/>
      <c r="M140" s="38"/>
      <c r="N140" s="38"/>
      <c r="O140" s="38"/>
      <c r="P140" s="38"/>
    </row>
    <row r="141" ht="15.75" customHeight="1">
      <c r="D141" s="38"/>
      <c r="E141" s="38"/>
      <c r="F141" s="38"/>
      <c r="G141" s="38"/>
      <c r="H141" s="38"/>
      <c r="I141" s="38"/>
      <c r="J141" s="38"/>
      <c r="K141" s="38"/>
      <c r="L141" s="55"/>
      <c r="M141" s="38"/>
      <c r="N141" s="38"/>
      <c r="O141" s="38"/>
      <c r="P141" s="38"/>
    </row>
    <row r="142" ht="15.75" customHeight="1">
      <c r="A142" s="68"/>
      <c r="B142" s="68"/>
      <c r="C142" s="68"/>
      <c r="D142" s="69"/>
      <c r="E142" s="69"/>
      <c r="F142" s="69"/>
      <c r="G142" s="69"/>
      <c r="H142" s="69"/>
      <c r="I142" s="69"/>
      <c r="J142" s="69"/>
      <c r="K142" s="69"/>
      <c r="L142" s="70"/>
      <c r="M142" s="69"/>
      <c r="N142" s="69"/>
      <c r="O142" s="69"/>
      <c r="P142" s="69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</row>
    <row r="143" ht="15.75" customHeight="1">
      <c r="D143" s="38"/>
      <c r="E143" s="38"/>
      <c r="F143" s="38"/>
      <c r="G143" s="38"/>
      <c r="H143" s="38"/>
      <c r="I143" s="38"/>
      <c r="J143" s="38"/>
      <c r="K143" s="38"/>
      <c r="L143" s="55"/>
      <c r="M143" s="38"/>
      <c r="N143" s="38"/>
      <c r="O143" s="38"/>
      <c r="P143" s="38"/>
    </row>
    <row r="144" ht="15.75" customHeight="1">
      <c r="D144" s="38"/>
      <c r="E144" s="38"/>
      <c r="F144" s="38"/>
      <c r="G144" s="38"/>
      <c r="H144" s="38"/>
      <c r="I144" s="38"/>
      <c r="J144" s="38"/>
      <c r="K144" s="38"/>
      <c r="L144" s="55"/>
      <c r="M144" s="38"/>
      <c r="N144" s="38"/>
      <c r="O144" s="38"/>
      <c r="P144" s="38"/>
    </row>
    <row r="145" ht="15.75" customHeight="1">
      <c r="A145" s="71" t="s">
        <v>55</v>
      </c>
      <c r="B145" s="22"/>
      <c r="C145" s="23">
        <f>SUM(H145:H151)</f>
        <v>457.51</v>
      </c>
      <c r="D145" s="72"/>
      <c r="E145" s="84">
        <v>3.0</v>
      </c>
      <c r="F145" s="73">
        <v>45.0</v>
      </c>
      <c r="G145" s="25">
        <f t="shared" ref="G145:G150" si="17">H145 / ( ABS(L145-K145) * E145)</f>
        <v>1.775555556</v>
      </c>
      <c r="H145" s="106">
        <v>239.7</v>
      </c>
      <c r="I145" s="87" t="s">
        <v>59</v>
      </c>
      <c r="J145" s="76" t="s">
        <v>60</v>
      </c>
      <c r="K145" s="107">
        <v>45489.45</v>
      </c>
      <c r="L145" s="77">
        <f>K145+45</f>
        <v>45534.45</v>
      </c>
      <c r="M145" s="128">
        <v>45409.55</v>
      </c>
      <c r="N145" s="78">
        <v>46111.0</v>
      </c>
      <c r="O145" s="79">
        <v>0.9034722222222222</v>
      </c>
      <c r="P145" s="76" t="s">
        <v>430</v>
      </c>
    </row>
    <row r="146" ht="15.75" customHeight="1">
      <c r="A146" s="80" t="s">
        <v>73</v>
      </c>
      <c r="B146" s="81">
        <v>150.0</v>
      </c>
      <c r="C146" s="37"/>
      <c r="D146" s="82"/>
      <c r="E146" s="73">
        <v>3.9</v>
      </c>
      <c r="F146" s="73">
        <v>40.0</v>
      </c>
      <c r="G146" s="25">
        <f t="shared" si="17"/>
        <v>-0.87</v>
      </c>
      <c r="H146" s="74">
        <v>-135.72</v>
      </c>
      <c r="I146" s="76" t="s">
        <v>59</v>
      </c>
      <c r="J146" s="83" t="s">
        <v>22</v>
      </c>
      <c r="K146" s="107">
        <v>23291.7</v>
      </c>
      <c r="L146" s="77">
        <f>K146+40</f>
        <v>23331.7</v>
      </c>
      <c r="M146" s="82"/>
      <c r="N146" s="91">
        <v>46112.0</v>
      </c>
      <c r="O146" s="85">
        <v>0.8986111111111111</v>
      </c>
      <c r="P146" s="76" t="s">
        <v>431</v>
      </c>
    </row>
    <row r="147" ht="15.75" customHeight="1">
      <c r="A147" s="80" t="s">
        <v>112</v>
      </c>
      <c r="B147" s="86">
        <f>C145-B146</f>
        <v>307.51</v>
      </c>
      <c r="C147" s="37"/>
      <c r="D147" s="82"/>
      <c r="E147" s="73">
        <v>2.1</v>
      </c>
      <c r="F147" s="73">
        <v>70.0</v>
      </c>
      <c r="G147" s="25">
        <f t="shared" si="17"/>
        <v>0</v>
      </c>
      <c r="H147" s="74">
        <v>0.0</v>
      </c>
      <c r="I147" s="87" t="s">
        <v>59</v>
      </c>
      <c r="J147" s="88" t="s">
        <v>60</v>
      </c>
      <c r="K147" s="89">
        <v>45623.46</v>
      </c>
      <c r="L147" s="90"/>
      <c r="M147" s="113"/>
      <c r="N147" s="91">
        <v>46112.0</v>
      </c>
      <c r="O147" s="79">
        <v>0.8972222222222223</v>
      </c>
      <c r="P147" s="76" t="s">
        <v>431</v>
      </c>
    </row>
    <row r="148" ht="15.75" customHeight="1">
      <c r="A148" s="92"/>
      <c r="B148" s="92"/>
      <c r="C148" s="43"/>
      <c r="D148" s="82"/>
      <c r="E148" s="73">
        <v>3.5</v>
      </c>
      <c r="F148" s="73">
        <v>40.0</v>
      </c>
      <c r="G148" s="25">
        <f t="shared" si="17"/>
        <v>1.9425</v>
      </c>
      <c r="H148" s="106">
        <v>271.95</v>
      </c>
      <c r="I148" s="76" t="s">
        <v>59</v>
      </c>
      <c r="J148" s="83" t="s">
        <v>22</v>
      </c>
      <c r="K148" s="89">
        <v>23313.7</v>
      </c>
      <c r="L148" s="90">
        <f>K148-40</f>
        <v>23273.7</v>
      </c>
      <c r="M148" s="84">
        <v>23391.4</v>
      </c>
      <c r="N148" s="91">
        <v>46112.0</v>
      </c>
      <c r="O148" s="85">
        <v>0.9069444444444444</v>
      </c>
      <c r="P148" s="76" t="s">
        <v>431</v>
      </c>
    </row>
    <row r="149" ht="15.75" customHeight="1">
      <c r="A149" s="92"/>
      <c r="B149" s="92" t="s">
        <v>46</v>
      </c>
      <c r="C149" s="44">
        <f>SUM(G145:G151)</f>
        <v>3.003055556</v>
      </c>
      <c r="D149" s="82"/>
      <c r="E149" s="73">
        <v>3.3</v>
      </c>
      <c r="F149" s="73">
        <v>30.0</v>
      </c>
      <c r="G149" s="25">
        <f t="shared" si="17"/>
        <v>-1.543333333</v>
      </c>
      <c r="H149" s="74">
        <v>-152.79</v>
      </c>
      <c r="I149" s="76" t="s">
        <v>59</v>
      </c>
      <c r="J149" s="76" t="s">
        <v>22</v>
      </c>
      <c r="K149" s="89">
        <v>24030.45</v>
      </c>
      <c r="L149" s="90">
        <f>K149-30</f>
        <v>24000.45</v>
      </c>
      <c r="M149" s="84"/>
      <c r="N149" s="91">
        <v>46113.0</v>
      </c>
      <c r="O149" s="95">
        <v>0.9020833333333333</v>
      </c>
      <c r="P149" s="84" t="s">
        <v>434</v>
      </c>
    </row>
    <row r="150" ht="15.75" customHeight="1">
      <c r="A150" s="92"/>
      <c r="B150" s="92"/>
      <c r="C150" s="92"/>
      <c r="D150" s="82"/>
      <c r="E150" s="84">
        <v>4.6</v>
      </c>
      <c r="F150" s="84">
        <v>30.0</v>
      </c>
      <c r="G150" s="25">
        <f t="shared" si="17"/>
        <v>1.698333333</v>
      </c>
      <c r="H150" s="84">
        <v>234.37</v>
      </c>
      <c r="I150" s="84" t="s">
        <v>59</v>
      </c>
      <c r="J150" s="84" t="s">
        <v>22</v>
      </c>
      <c r="K150" s="84">
        <v>23577.35</v>
      </c>
      <c r="L150" s="120">
        <f>K150+30</f>
        <v>23607.35</v>
      </c>
      <c r="M150" s="84">
        <v>23526.4</v>
      </c>
      <c r="N150" s="121">
        <v>46114.0</v>
      </c>
      <c r="O150" s="122">
        <v>0.9006944444444445</v>
      </c>
      <c r="P150" s="76" t="s">
        <v>437</v>
      </c>
    </row>
    <row r="151" ht="15.75" customHeight="1">
      <c r="D151" s="38"/>
      <c r="E151" s="38"/>
      <c r="F151" s="38"/>
      <c r="G151" s="38"/>
      <c r="H151" s="38"/>
      <c r="I151" s="38"/>
      <c r="J151" s="38"/>
      <c r="K151" s="38"/>
      <c r="L151" s="55"/>
      <c r="M151" s="38"/>
      <c r="N151" s="38"/>
      <c r="O151" s="38"/>
      <c r="P151" s="38"/>
    </row>
    <row r="152" ht="15.75" customHeight="1">
      <c r="D152" s="38"/>
      <c r="E152" s="38"/>
      <c r="F152" s="38"/>
      <c r="G152" s="38"/>
      <c r="H152" s="38"/>
      <c r="I152" s="38"/>
      <c r="J152" s="38"/>
      <c r="K152" s="38"/>
      <c r="L152" s="55"/>
      <c r="M152" s="38"/>
      <c r="N152" s="38"/>
      <c r="O152" s="38"/>
      <c r="P152" s="38"/>
    </row>
    <row r="153" ht="15.75" customHeight="1">
      <c r="D153" s="38"/>
      <c r="E153" s="38"/>
      <c r="F153" s="38"/>
      <c r="G153" s="38"/>
      <c r="H153" s="38"/>
      <c r="I153" s="38"/>
      <c r="J153" s="38"/>
      <c r="K153" s="38"/>
      <c r="L153" s="55"/>
      <c r="M153" s="38"/>
      <c r="N153" s="38"/>
      <c r="O153" s="38"/>
      <c r="P153" s="38"/>
    </row>
    <row r="154" ht="15.75" customHeight="1">
      <c r="D154" s="38"/>
      <c r="E154" s="38"/>
      <c r="F154" s="38"/>
      <c r="G154" s="38"/>
      <c r="H154" s="38"/>
      <c r="I154" s="38"/>
      <c r="J154" s="38"/>
      <c r="K154" s="38"/>
      <c r="L154" s="55"/>
      <c r="M154" s="38"/>
      <c r="N154" s="38"/>
      <c r="O154" s="38"/>
      <c r="P154" s="38"/>
    </row>
    <row r="155" ht="15.75" customHeight="1">
      <c r="D155" s="38"/>
      <c r="E155" s="84"/>
      <c r="F155" s="84"/>
      <c r="G155" s="25"/>
      <c r="H155" s="84"/>
      <c r="I155" s="84"/>
      <c r="J155" s="84"/>
      <c r="K155" s="84"/>
      <c r="L155" s="120"/>
      <c r="M155" s="84"/>
      <c r="N155" s="121"/>
      <c r="O155" s="122"/>
      <c r="P155" s="76"/>
    </row>
    <row r="156" ht="15.75" customHeight="1">
      <c r="D156" s="38"/>
      <c r="E156" s="38"/>
      <c r="F156" s="38"/>
      <c r="G156" s="38"/>
      <c r="H156" s="38"/>
      <c r="I156" s="38"/>
      <c r="J156" s="38"/>
      <c r="K156" s="38"/>
      <c r="L156" s="55"/>
      <c r="M156" s="38"/>
      <c r="N156" s="38"/>
      <c r="O156" s="38"/>
      <c r="P156" s="38"/>
    </row>
    <row r="157" ht="15.75" customHeight="1">
      <c r="A157" s="71" t="s">
        <v>55</v>
      </c>
      <c r="B157" s="22"/>
      <c r="C157" s="23">
        <f>SUM(H157:H163)</f>
        <v>1093.59</v>
      </c>
      <c r="D157" s="72"/>
      <c r="E157" s="84">
        <v>7.0</v>
      </c>
      <c r="F157" s="73">
        <v>20.0</v>
      </c>
      <c r="G157" s="25">
        <f t="shared" ref="G157:G164" si="18">H157 / ( ABS(L157-K157) * E157)</f>
        <v>-1.0775</v>
      </c>
      <c r="H157" s="106">
        <v>-150.85</v>
      </c>
      <c r="I157" s="87" t="s">
        <v>59</v>
      </c>
      <c r="J157" s="76" t="s">
        <v>22</v>
      </c>
      <c r="K157" s="107">
        <v>24195.7</v>
      </c>
      <c r="L157" s="77">
        <f>K157-20</f>
        <v>24175.7</v>
      </c>
      <c r="M157" s="128"/>
      <c r="N157" s="78">
        <v>46118.0</v>
      </c>
      <c r="O157" s="79">
        <v>0.8972222222222223</v>
      </c>
      <c r="P157" s="76" t="s">
        <v>444</v>
      </c>
    </row>
    <row r="158" ht="15.75" customHeight="1">
      <c r="A158" s="80" t="s">
        <v>73</v>
      </c>
      <c r="B158" s="81">
        <v>150.0</v>
      </c>
      <c r="C158" s="37"/>
      <c r="D158" s="82"/>
      <c r="E158" s="73">
        <v>7.0</v>
      </c>
      <c r="F158" s="73">
        <v>20.0</v>
      </c>
      <c r="G158" s="25">
        <f t="shared" si="18"/>
        <v>-1.135</v>
      </c>
      <c r="H158" s="106">
        <v>-158.9</v>
      </c>
      <c r="I158" s="76" t="s">
        <v>59</v>
      </c>
      <c r="J158" s="83" t="s">
        <v>22</v>
      </c>
      <c r="K158" s="107">
        <v>24103.5</v>
      </c>
      <c r="L158" s="77">
        <f>K158+20</f>
        <v>24123.5</v>
      </c>
      <c r="M158" s="82"/>
      <c r="N158" s="91">
        <v>46118.0</v>
      </c>
      <c r="O158" s="85">
        <v>0.9</v>
      </c>
      <c r="P158" s="76"/>
    </row>
    <row r="159" ht="15.75" customHeight="1">
      <c r="A159" s="80" t="s">
        <v>112</v>
      </c>
      <c r="B159" s="86">
        <f>C157-B158</f>
        <v>943.59</v>
      </c>
      <c r="C159" s="37"/>
      <c r="D159" s="82"/>
      <c r="E159" s="73">
        <v>7.0</v>
      </c>
      <c r="F159" s="73">
        <v>20.0</v>
      </c>
      <c r="G159" s="25">
        <f t="shared" si="18"/>
        <v>1.955</v>
      </c>
      <c r="H159" s="74">
        <v>273.7</v>
      </c>
      <c r="I159" s="76" t="s">
        <v>59</v>
      </c>
      <c r="J159" s="83" t="s">
        <v>22</v>
      </c>
      <c r="K159" s="89">
        <v>24187.45</v>
      </c>
      <c r="L159" s="90">
        <f>K159-20</f>
        <v>24167.45</v>
      </c>
      <c r="M159" s="113">
        <v>24226.55</v>
      </c>
      <c r="N159" s="91">
        <v>46118.0</v>
      </c>
      <c r="O159" s="79">
        <v>0.9048611111111111</v>
      </c>
      <c r="P159" s="76"/>
    </row>
    <row r="160" ht="15.75" customHeight="1">
      <c r="A160" s="92"/>
      <c r="B160" s="92"/>
      <c r="C160" s="43"/>
      <c r="D160" s="82"/>
      <c r="E160" s="73">
        <v>24.0</v>
      </c>
      <c r="F160" s="73">
        <v>25.0</v>
      </c>
      <c r="G160" s="25">
        <f t="shared" si="18"/>
        <v>2.3784</v>
      </c>
      <c r="H160" s="106">
        <v>1427.04</v>
      </c>
      <c r="I160" s="76" t="s">
        <v>59</v>
      </c>
      <c r="J160" s="83" t="s">
        <v>20</v>
      </c>
      <c r="K160" s="89">
        <v>46512.68</v>
      </c>
      <c r="L160" s="90">
        <f>K160+25</f>
        <v>46537.68</v>
      </c>
      <c r="M160" s="84">
        <v>46453.22</v>
      </c>
      <c r="N160" s="91">
        <v>46119.0</v>
      </c>
      <c r="O160" s="85">
        <v>0.8972222222222223</v>
      </c>
      <c r="P160" s="76" t="s">
        <v>449</v>
      </c>
    </row>
    <row r="161" ht="15.75" customHeight="1">
      <c r="A161" s="92"/>
      <c r="B161" s="92" t="s">
        <v>46</v>
      </c>
      <c r="C161" s="44">
        <f>SUM(G157:G163)</f>
        <v>1.625233333</v>
      </c>
      <c r="D161" s="82"/>
      <c r="E161" s="73">
        <v>24.0</v>
      </c>
      <c r="F161" s="73">
        <v>25.0</v>
      </c>
      <c r="G161" s="25">
        <f t="shared" si="18"/>
        <v>2.358333333</v>
      </c>
      <c r="H161" s="74">
        <v>1415.0</v>
      </c>
      <c r="I161" s="76" t="s">
        <v>59</v>
      </c>
      <c r="J161" s="83" t="s">
        <v>20</v>
      </c>
      <c r="K161" s="89">
        <v>47936.62</v>
      </c>
      <c r="L161" s="90">
        <f>K161-25</f>
        <v>47911.62</v>
      </c>
      <c r="M161" s="84">
        <v>47995.58</v>
      </c>
      <c r="N161" s="91">
        <v>46120.0</v>
      </c>
      <c r="O161" s="95">
        <v>0.8958333333333334</v>
      </c>
      <c r="P161" s="84"/>
    </row>
    <row r="162" ht="15.75" customHeight="1">
      <c r="A162" s="92"/>
      <c r="B162" s="92"/>
      <c r="C162" s="92"/>
      <c r="D162" s="82"/>
      <c r="E162" s="84">
        <v>30.0</v>
      </c>
      <c r="F162" s="84">
        <v>20.0</v>
      </c>
      <c r="G162" s="25">
        <f t="shared" si="18"/>
        <v>-1.402</v>
      </c>
      <c r="H162" s="84">
        <v>-841.2</v>
      </c>
      <c r="I162" s="84" t="s">
        <v>59</v>
      </c>
      <c r="J162" s="84" t="s">
        <v>20</v>
      </c>
      <c r="K162" s="84">
        <v>47711.98</v>
      </c>
      <c r="L162" s="120">
        <f t="shared" ref="L162:L163" si="19">K162-20</f>
        <v>47691.98</v>
      </c>
      <c r="M162" s="84"/>
      <c r="N162" s="121">
        <v>46121.0</v>
      </c>
      <c r="O162" s="122">
        <v>0.8965277777777778</v>
      </c>
      <c r="P162" s="76"/>
    </row>
    <row r="163" ht="15.75" customHeight="1">
      <c r="D163" s="38"/>
      <c r="E163" s="13">
        <v>30.0</v>
      </c>
      <c r="F163" s="13">
        <v>20.0</v>
      </c>
      <c r="G163" s="25">
        <f t="shared" si="18"/>
        <v>-1.452</v>
      </c>
      <c r="H163" s="13">
        <v>-871.2</v>
      </c>
      <c r="I163" s="13" t="s">
        <v>59</v>
      </c>
      <c r="J163" s="13" t="s">
        <v>20</v>
      </c>
      <c r="K163" s="13">
        <v>47781.52</v>
      </c>
      <c r="L163" s="55">
        <f t="shared" si="19"/>
        <v>47761.52</v>
      </c>
      <c r="M163" s="38"/>
      <c r="N163" s="50">
        <v>46121.0</v>
      </c>
      <c r="O163" s="46">
        <v>0.9</v>
      </c>
      <c r="P163" s="38"/>
    </row>
    <row r="164" ht="15.75" customHeight="1">
      <c r="D164" s="38"/>
      <c r="E164" s="13">
        <v>24.0</v>
      </c>
      <c r="F164" s="13">
        <v>25.0</v>
      </c>
      <c r="G164" s="25">
        <f t="shared" si="18"/>
        <v>-1.3216</v>
      </c>
      <c r="H164" s="13">
        <v>-792.96</v>
      </c>
      <c r="I164" s="13" t="s">
        <v>59</v>
      </c>
      <c r="J164" s="13" t="s">
        <v>20</v>
      </c>
      <c r="K164" s="13">
        <v>47805.02</v>
      </c>
      <c r="L164" s="55">
        <f>K164-25</f>
        <v>47780.02</v>
      </c>
      <c r="M164" s="38"/>
      <c r="N164" s="50">
        <v>46121.0</v>
      </c>
      <c r="O164" s="46">
        <v>0.9027777777777778</v>
      </c>
      <c r="P164" s="38"/>
    </row>
    <row r="165" ht="15.75" customHeight="1">
      <c r="D165" s="38"/>
      <c r="E165" s="38"/>
      <c r="F165" s="38"/>
      <c r="G165" s="38"/>
      <c r="H165" s="38"/>
      <c r="I165" s="38"/>
      <c r="J165" s="38"/>
      <c r="K165" s="38"/>
      <c r="L165" s="55"/>
      <c r="M165" s="38"/>
      <c r="N165" s="38"/>
      <c r="O165" s="38"/>
      <c r="P165" s="38"/>
    </row>
    <row r="166" ht="15.75" customHeight="1">
      <c r="D166" s="38"/>
      <c r="E166" s="38"/>
      <c r="F166" s="38"/>
      <c r="G166" s="38"/>
      <c r="H166" s="38"/>
      <c r="I166" s="38"/>
      <c r="J166" s="38"/>
      <c r="K166" s="38"/>
      <c r="L166" s="55"/>
      <c r="M166" s="38"/>
      <c r="N166" s="38"/>
      <c r="O166" s="38"/>
      <c r="P166" s="38"/>
    </row>
    <row r="167" ht="15.75" customHeight="1">
      <c r="D167" s="38"/>
      <c r="E167" s="38"/>
      <c r="F167" s="38"/>
      <c r="G167" s="38"/>
      <c r="H167" s="38"/>
      <c r="I167" s="38"/>
      <c r="J167" s="38"/>
      <c r="K167" s="38"/>
      <c r="L167" s="55"/>
      <c r="M167" s="38"/>
      <c r="N167" s="38"/>
      <c r="O167" s="38"/>
      <c r="P167" s="38"/>
    </row>
    <row r="168" ht="15.75" customHeight="1">
      <c r="D168" s="38"/>
      <c r="E168" s="38"/>
      <c r="F168" s="38"/>
      <c r="G168" s="38"/>
      <c r="H168" s="38"/>
      <c r="I168" s="38"/>
      <c r="J168" s="38"/>
      <c r="K168" s="38"/>
      <c r="L168" s="55"/>
      <c r="M168" s="38"/>
      <c r="N168" s="38"/>
      <c r="O168" s="38"/>
      <c r="P168" s="38"/>
    </row>
    <row r="169" ht="15.75" customHeight="1">
      <c r="D169" s="38"/>
      <c r="E169" s="38"/>
      <c r="F169" s="38"/>
      <c r="G169" s="38"/>
      <c r="H169" s="38"/>
      <c r="I169" s="38"/>
      <c r="J169" s="38"/>
      <c r="K169" s="38"/>
      <c r="L169" s="55"/>
      <c r="M169" s="38"/>
      <c r="N169" s="38"/>
      <c r="O169" s="38"/>
      <c r="P169" s="38"/>
    </row>
    <row r="170" ht="15.75" customHeight="1">
      <c r="D170" s="38"/>
      <c r="E170" s="38"/>
      <c r="F170" s="38"/>
      <c r="G170" s="38"/>
      <c r="H170" s="38"/>
      <c r="I170" s="38"/>
      <c r="J170" s="38"/>
      <c r="K170" s="38"/>
      <c r="L170" s="55"/>
      <c r="M170" s="38"/>
      <c r="N170" s="38"/>
      <c r="O170" s="38"/>
      <c r="P170" s="38"/>
    </row>
    <row r="171" ht="15.75" customHeight="1">
      <c r="D171" s="38"/>
      <c r="E171" s="38"/>
      <c r="F171" s="38"/>
      <c r="G171" s="38"/>
      <c r="H171" s="38"/>
      <c r="I171" s="38"/>
      <c r="J171" s="38"/>
      <c r="K171" s="38"/>
      <c r="L171" s="55"/>
      <c r="M171" s="38"/>
      <c r="N171" s="38"/>
      <c r="O171" s="38"/>
      <c r="P171" s="38"/>
    </row>
    <row r="172" ht="15.75" customHeight="1">
      <c r="A172" s="71" t="s">
        <v>55</v>
      </c>
      <c r="B172" s="22"/>
      <c r="C172" s="23">
        <f>SUM(H172:H178)</f>
        <v>-585.44</v>
      </c>
      <c r="D172" s="72"/>
      <c r="E172" s="84">
        <v>60.0</v>
      </c>
      <c r="F172" s="73">
        <v>10.0</v>
      </c>
      <c r="G172" s="25">
        <f t="shared" ref="G172:G176" si="20">H172 / ( ABS(L172-K172) * E172)</f>
        <v>-1.546</v>
      </c>
      <c r="H172" s="106">
        <v>-927.6</v>
      </c>
      <c r="I172" s="87" t="s">
        <v>59</v>
      </c>
      <c r="J172" s="76" t="s">
        <v>22</v>
      </c>
      <c r="K172" s="107">
        <v>25579.58</v>
      </c>
      <c r="L172" s="77">
        <f>K172-10</f>
        <v>25569.58</v>
      </c>
      <c r="M172" s="128"/>
      <c r="N172" s="78">
        <v>46126.0</v>
      </c>
      <c r="O172" s="79">
        <v>0.8993055555555556</v>
      </c>
      <c r="P172" s="76" t="s">
        <v>461</v>
      </c>
    </row>
    <row r="173" ht="15.75" customHeight="1">
      <c r="A173" s="80" t="s">
        <v>73</v>
      </c>
      <c r="B173" s="81">
        <v>150.0</v>
      </c>
      <c r="C173" s="37"/>
      <c r="D173" s="82"/>
      <c r="E173" s="73">
        <v>40.0</v>
      </c>
      <c r="F173" s="73">
        <v>15.0</v>
      </c>
      <c r="G173" s="25">
        <f t="shared" si="20"/>
        <v>-1.110666667</v>
      </c>
      <c r="H173" s="106">
        <v>-666.4</v>
      </c>
      <c r="I173" s="76" t="s">
        <v>59</v>
      </c>
      <c r="J173" s="83" t="s">
        <v>20</v>
      </c>
      <c r="K173" s="107">
        <v>48461.68</v>
      </c>
      <c r="L173" s="77">
        <f>K173-15</f>
        <v>48446.68</v>
      </c>
      <c r="M173" s="82"/>
      <c r="N173" s="78">
        <v>46126.0</v>
      </c>
      <c r="O173" s="85">
        <v>0.9229166666666667</v>
      </c>
      <c r="P173" s="76"/>
    </row>
    <row r="174" ht="15.75" customHeight="1">
      <c r="A174" s="80" t="s">
        <v>112</v>
      </c>
      <c r="B174" s="86">
        <f>C172-B173</f>
        <v>-735.44</v>
      </c>
      <c r="C174" s="37"/>
      <c r="D174" s="82"/>
      <c r="E174" s="73">
        <v>40.0</v>
      </c>
      <c r="F174" s="73">
        <v>15.0</v>
      </c>
      <c r="G174" s="25">
        <f t="shared" si="20"/>
        <v>-1.984</v>
      </c>
      <c r="H174" s="74">
        <v>-1190.4</v>
      </c>
      <c r="I174" s="76" t="s">
        <v>59</v>
      </c>
      <c r="J174" s="83" t="s">
        <v>20</v>
      </c>
      <c r="K174" s="89">
        <v>48579.12</v>
      </c>
      <c r="L174" s="90">
        <f t="shared" ref="L174:L175" si="21">K174+15</f>
        <v>48594.12</v>
      </c>
      <c r="M174" s="113"/>
      <c r="N174" s="91">
        <v>46127.0</v>
      </c>
      <c r="O174" s="79">
        <v>0.8979166666666667</v>
      </c>
      <c r="P174" s="76"/>
    </row>
    <row r="175" ht="15.75" customHeight="1">
      <c r="A175" s="92"/>
      <c r="B175" s="92"/>
      <c r="C175" s="43"/>
      <c r="D175" s="82"/>
      <c r="E175" s="73">
        <v>40.0</v>
      </c>
      <c r="F175" s="73">
        <v>15.0</v>
      </c>
      <c r="G175" s="25">
        <f t="shared" si="20"/>
        <v>2.115833333</v>
      </c>
      <c r="H175" s="106">
        <v>1269.5</v>
      </c>
      <c r="I175" s="76" t="s">
        <v>59</v>
      </c>
      <c r="J175" s="83" t="s">
        <v>20</v>
      </c>
      <c r="K175" s="89">
        <v>48538.62</v>
      </c>
      <c r="L175" s="90">
        <f t="shared" si="21"/>
        <v>48553.62</v>
      </c>
      <c r="M175" s="84">
        <v>48506.88</v>
      </c>
      <c r="N175" s="91">
        <v>46127.0</v>
      </c>
      <c r="O175" s="85">
        <v>0.9055555555555556</v>
      </c>
      <c r="P175" s="76"/>
    </row>
    <row r="176" ht="15.75" customHeight="1">
      <c r="C176" s="44">
        <f>SUM(G172:G178)</f>
        <v>1.901166667</v>
      </c>
      <c r="D176" s="38"/>
      <c r="E176" s="13">
        <v>21.0</v>
      </c>
      <c r="F176" s="13">
        <v>10.0</v>
      </c>
      <c r="G176" s="25">
        <f t="shared" si="20"/>
        <v>4.426</v>
      </c>
      <c r="H176" s="13">
        <v>929.46</v>
      </c>
      <c r="I176" s="13" t="s">
        <v>59</v>
      </c>
      <c r="J176" s="13" t="s">
        <v>60</v>
      </c>
      <c r="K176" s="13">
        <v>48639.58</v>
      </c>
      <c r="L176" s="45">
        <f>K176-10</f>
        <v>48629.58</v>
      </c>
      <c r="M176" s="45">
        <v>48683.84</v>
      </c>
      <c r="N176" s="50">
        <v>46128.0</v>
      </c>
      <c r="O176" s="46">
        <v>0.8965277777777778</v>
      </c>
      <c r="P176" s="38"/>
    </row>
    <row r="177" ht="15.75" customHeight="1">
      <c r="D177" s="38"/>
      <c r="E177" s="38"/>
      <c r="F177" s="38"/>
      <c r="G177" s="38"/>
      <c r="H177" s="38"/>
      <c r="I177" s="38"/>
      <c r="J177" s="38"/>
      <c r="K177" s="38"/>
      <c r="L177" s="55"/>
      <c r="M177" s="38"/>
      <c r="N177" s="38"/>
      <c r="O177" s="38"/>
      <c r="P177" s="38"/>
    </row>
    <row r="178" ht="15.75" customHeight="1">
      <c r="D178" s="38"/>
      <c r="E178" s="38"/>
      <c r="F178" s="38"/>
      <c r="G178" s="38"/>
      <c r="H178" s="38"/>
      <c r="I178" s="38"/>
      <c r="J178" s="38"/>
      <c r="K178" s="38"/>
      <c r="L178" s="55"/>
      <c r="M178" s="38"/>
      <c r="N178" s="38"/>
      <c r="O178" s="38"/>
      <c r="P178" s="38"/>
    </row>
    <row r="179" ht="15.75" customHeight="1">
      <c r="D179" s="38"/>
      <c r="E179" s="38"/>
      <c r="F179" s="38"/>
      <c r="G179" s="38"/>
      <c r="H179" s="38"/>
      <c r="I179" s="38"/>
      <c r="J179" s="38"/>
      <c r="K179" s="38"/>
      <c r="L179" s="55"/>
      <c r="M179" s="38"/>
      <c r="N179" s="38"/>
      <c r="O179" s="38"/>
      <c r="P179" s="38"/>
    </row>
    <row r="180" ht="15.75" customHeight="1">
      <c r="D180" s="38"/>
      <c r="E180" s="38"/>
      <c r="F180" s="38"/>
      <c r="G180" s="38"/>
      <c r="H180" s="38"/>
      <c r="I180" s="38"/>
      <c r="J180" s="38"/>
      <c r="K180" s="38"/>
      <c r="L180" s="55"/>
      <c r="M180" s="38"/>
      <c r="N180" s="38"/>
      <c r="O180" s="38"/>
      <c r="P180" s="38"/>
    </row>
    <row r="181" ht="15.75" customHeight="1">
      <c r="D181" s="38"/>
      <c r="E181" s="38"/>
      <c r="F181" s="13"/>
      <c r="G181" s="38"/>
      <c r="H181" s="38"/>
      <c r="I181" s="38"/>
      <c r="J181" s="38"/>
      <c r="K181" s="38"/>
      <c r="L181" s="55"/>
      <c r="M181" s="38"/>
      <c r="N181" s="38"/>
      <c r="O181" s="38"/>
      <c r="P181" s="38"/>
    </row>
    <row r="182" ht="15.75" customHeight="1">
      <c r="A182" s="71" t="s">
        <v>55</v>
      </c>
      <c r="B182" s="22"/>
      <c r="C182" s="23">
        <f>SUM(H182:H188)</f>
        <v>-348.27</v>
      </c>
      <c r="D182" s="72"/>
      <c r="E182" s="84">
        <v>21.0</v>
      </c>
      <c r="F182" s="73">
        <v>10.0</v>
      </c>
      <c r="G182" s="25">
        <f t="shared" ref="G182:G185" si="22">H182 / ( ABS(L182-K182) * E182)</f>
        <v>-4.139</v>
      </c>
      <c r="H182" s="106">
        <v>-869.19</v>
      </c>
      <c r="I182" s="87" t="s">
        <v>59</v>
      </c>
      <c r="J182" s="76" t="s">
        <v>60</v>
      </c>
      <c r="K182" s="107">
        <v>49674.83</v>
      </c>
      <c r="L182" s="77">
        <f>K182+10</f>
        <v>49684.83</v>
      </c>
      <c r="M182" s="128"/>
      <c r="N182" s="78">
        <v>46133.0</v>
      </c>
      <c r="O182" s="79">
        <v>0.8965277777777778</v>
      </c>
      <c r="P182" s="76" t="s">
        <v>471</v>
      </c>
    </row>
    <row r="183" ht="15.75" customHeight="1">
      <c r="A183" s="80" t="s">
        <v>73</v>
      </c>
      <c r="B183" s="81">
        <v>150.0</v>
      </c>
      <c r="C183" s="37"/>
      <c r="D183" s="82"/>
      <c r="E183" s="73">
        <v>21.0</v>
      </c>
      <c r="F183" s="73">
        <v>10.0</v>
      </c>
      <c r="G183" s="25">
        <f t="shared" si="22"/>
        <v>0.226</v>
      </c>
      <c r="H183" s="106">
        <v>47.46</v>
      </c>
      <c r="I183" s="76" t="s">
        <v>59</v>
      </c>
      <c r="J183" s="83" t="s">
        <v>60</v>
      </c>
      <c r="K183" s="107">
        <v>49833.57</v>
      </c>
      <c r="L183" s="77">
        <f t="shared" ref="L183:L184" si="23">K183-10</f>
        <v>49823.57</v>
      </c>
      <c r="M183" s="84">
        <v>49835.83</v>
      </c>
      <c r="N183" s="78">
        <v>46133.0</v>
      </c>
      <c r="O183" s="85">
        <v>0.9069444444444444</v>
      </c>
      <c r="P183" s="76"/>
    </row>
    <row r="184" ht="15.75" customHeight="1">
      <c r="A184" s="80" t="s">
        <v>112</v>
      </c>
      <c r="B184" s="86">
        <f>C182-B183</f>
        <v>-498.27</v>
      </c>
      <c r="C184" s="37"/>
      <c r="D184" s="82"/>
      <c r="E184" s="73">
        <v>21.0</v>
      </c>
      <c r="F184" s="73">
        <v>10.0</v>
      </c>
      <c r="G184" s="25">
        <f t="shared" si="22"/>
        <v>2.226</v>
      </c>
      <c r="H184" s="74">
        <v>467.46</v>
      </c>
      <c r="I184" s="76" t="s">
        <v>59</v>
      </c>
      <c r="J184" s="83" t="s">
        <v>22</v>
      </c>
      <c r="K184" s="89">
        <v>26699.21</v>
      </c>
      <c r="L184" s="90">
        <f t="shared" si="23"/>
        <v>26689.21</v>
      </c>
      <c r="M184" s="113">
        <v>26721.47</v>
      </c>
      <c r="N184" s="91">
        <v>46133.0</v>
      </c>
      <c r="O184" s="79">
        <v>0.9145833333333333</v>
      </c>
      <c r="P184" s="76"/>
    </row>
    <row r="185" ht="15.75" customHeight="1">
      <c r="A185" s="92"/>
      <c r="B185" s="92"/>
      <c r="C185" s="43"/>
      <c r="D185" s="82"/>
      <c r="E185" s="73">
        <v>14.0</v>
      </c>
      <c r="F185" s="73">
        <v>15.0</v>
      </c>
      <c r="G185" s="25">
        <f t="shared" si="22"/>
        <v>0.02857142857</v>
      </c>
      <c r="H185" s="106">
        <v>6.0</v>
      </c>
      <c r="I185" s="76" t="s">
        <v>59</v>
      </c>
      <c r="J185" s="83" t="s">
        <v>60</v>
      </c>
      <c r="K185" s="89">
        <v>49620.8</v>
      </c>
      <c r="L185" s="90">
        <f>K185-15</f>
        <v>49605.8</v>
      </c>
      <c r="M185" s="84"/>
      <c r="N185" s="91">
        <v>46134.0</v>
      </c>
      <c r="O185" s="85">
        <v>0.9159722222222222</v>
      </c>
      <c r="P185" s="76"/>
    </row>
    <row r="186" ht="15.75" customHeight="1">
      <c r="C186" s="44">
        <f>SUM(G182:G188)</f>
        <v>-1.658428571</v>
      </c>
      <c r="D186" s="38"/>
      <c r="E186" s="13"/>
      <c r="F186" s="13"/>
      <c r="G186" s="25"/>
      <c r="H186" s="13"/>
      <c r="I186" s="13"/>
      <c r="J186" s="13"/>
      <c r="K186" s="13"/>
      <c r="L186" s="45"/>
      <c r="M186" s="45"/>
      <c r="N186" s="50">
        <v>46135.0</v>
      </c>
      <c r="O186" s="46"/>
      <c r="P186" s="13" t="s">
        <v>475</v>
      </c>
    </row>
    <row r="187" ht="15.75" customHeight="1">
      <c r="D187" s="38"/>
      <c r="E187" s="38"/>
      <c r="F187" s="38"/>
      <c r="G187" s="38"/>
      <c r="H187" s="38"/>
      <c r="I187" s="38"/>
      <c r="J187" s="38"/>
      <c r="K187" s="38"/>
      <c r="L187" s="55"/>
      <c r="M187" s="38"/>
      <c r="N187" s="38"/>
      <c r="O187" s="38"/>
      <c r="P187" s="38"/>
    </row>
    <row r="188" ht="15.75" customHeight="1">
      <c r="D188" s="38"/>
      <c r="E188" s="38"/>
      <c r="F188" s="38"/>
      <c r="G188" s="38"/>
      <c r="H188" s="38"/>
      <c r="I188" s="38"/>
      <c r="J188" s="38"/>
      <c r="K188" s="38"/>
      <c r="L188" s="55"/>
      <c r="M188" s="38"/>
      <c r="N188" s="38"/>
      <c r="O188" s="38"/>
      <c r="P188" s="38"/>
    </row>
    <row r="189" ht="15.75" customHeight="1">
      <c r="A189" s="68"/>
      <c r="B189" s="68"/>
      <c r="C189" s="68"/>
      <c r="D189" s="69"/>
      <c r="E189" s="69"/>
      <c r="F189" s="69"/>
      <c r="G189" s="69"/>
      <c r="H189" s="69"/>
      <c r="I189" s="69"/>
      <c r="J189" s="69"/>
      <c r="K189" s="69"/>
      <c r="L189" s="70"/>
      <c r="M189" s="69"/>
      <c r="N189" s="69"/>
      <c r="O189" s="69"/>
      <c r="P189" s="69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</row>
    <row r="190" ht="15.75" customHeight="1">
      <c r="D190" s="38"/>
      <c r="E190" s="38"/>
      <c r="F190" s="38"/>
      <c r="G190" s="38"/>
      <c r="H190" s="38"/>
      <c r="I190" s="38"/>
      <c r="J190" s="38"/>
      <c r="K190" s="38"/>
      <c r="L190" s="55"/>
      <c r="M190" s="38"/>
      <c r="N190" s="38"/>
      <c r="O190" s="38"/>
      <c r="P190" s="38"/>
    </row>
    <row r="191" ht="15.75" customHeight="1">
      <c r="D191" s="38"/>
      <c r="E191" s="38"/>
      <c r="F191" s="38"/>
      <c r="G191" s="38"/>
      <c r="H191" s="38"/>
      <c r="I191" s="38"/>
      <c r="J191" s="38"/>
      <c r="K191" s="38"/>
      <c r="L191" s="55"/>
      <c r="M191" s="38"/>
      <c r="N191" s="38"/>
      <c r="O191" s="38"/>
      <c r="P191" s="38"/>
    </row>
    <row r="192" ht="15.75" customHeight="1">
      <c r="A192" s="71" t="s">
        <v>55</v>
      </c>
      <c r="B192" s="22"/>
      <c r="C192" s="23">
        <f>SUM(H192:H198)</f>
        <v>584.47</v>
      </c>
      <c r="D192" s="72"/>
      <c r="E192" s="84">
        <v>14.0</v>
      </c>
      <c r="F192" s="73">
        <v>15.0</v>
      </c>
      <c r="G192" s="25">
        <f t="shared" ref="G192:G196" si="24">H192 / ( ABS(L192-K192) * E192)</f>
        <v>3.296666667</v>
      </c>
      <c r="H192" s="106">
        <v>692.3</v>
      </c>
      <c r="I192" s="87" t="s">
        <v>59</v>
      </c>
      <c r="J192" s="76" t="s">
        <v>60</v>
      </c>
      <c r="K192" s="107">
        <v>48264.78</v>
      </c>
      <c r="L192" s="77">
        <f>K192-15</f>
        <v>48249.78</v>
      </c>
      <c r="M192" s="128">
        <v>49314.23</v>
      </c>
      <c r="N192" s="78">
        <v>46139.0</v>
      </c>
      <c r="O192" s="79">
        <v>0.8958333333333334</v>
      </c>
      <c r="P192" s="38"/>
    </row>
    <row r="193" ht="15.75" customHeight="1">
      <c r="A193" s="80" t="s">
        <v>73</v>
      </c>
      <c r="B193" s="81">
        <v>150.0</v>
      </c>
      <c r="C193" s="37"/>
      <c r="D193" s="82"/>
      <c r="E193" s="73">
        <v>21.0</v>
      </c>
      <c r="F193" s="73">
        <v>10.0</v>
      </c>
      <c r="G193" s="25">
        <f t="shared" si="24"/>
        <v>2.951</v>
      </c>
      <c r="H193" s="106">
        <v>619.71</v>
      </c>
      <c r="I193" s="76" t="s">
        <v>59</v>
      </c>
      <c r="J193" s="83" t="s">
        <v>22</v>
      </c>
      <c r="K193" s="107">
        <v>27093.1</v>
      </c>
      <c r="L193" s="77">
        <f>K193-10</f>
        <v>27083.1</v>
      </c>
      <c r="M193" s="84">
        <v>27122.61</v>
      </c>
      <c r="N193" s="78">
        <v>46140.0</v>
      </c>
      <c r="O193" s="85">
        <v>0.9034722222222222</v>
      </c>
      <c r="P193" s="38"/>
    </row>
    <row r="194" ht="15.75" customHeight="1">
      <c r="A194" s="80" t="s">
        <v>112</v>
      </c>
      <c r="B194" s="86">
        <f>C192-B193</f>
        <v>434.47</v>
      </c>
      <c r="C194" s="37"/>
      <c r="D194" s="82"/>
      <c r="E194" s="73">
        <v>21.0</v>
      </c>
      <c r="F194" s="73">
        <v>10.0</v>
      </c>
      <c r="G194" s="25">
        <f t="shared" si="24"/>
        <v>-1.823809524</v>
      </c>
      <c r="H194" s="74">
        <v>-383.0</v>
      </c>
      <c r="I194" s="76" t="s">
        <v>59</v>
      </c>
      <c r="J194" s="83" t="s">
        <v>22</v>
      </c>
      <c r="K194" s="89">
        <v>27044.11</v>
      </c>
      <c r="L194" s="90">
        <f>K194+10</f>
        <v>27054.11</v>
      </c>
      <c r="M194" s="113"/>
      <c r="N194" s="91">
        <v>46141.0</v>
      </c>
      <c r="O194" s="79">
        <v>0.8958333333333334</v>
      </c>
      <c r="P194" s="13" t="s">
        <v>479</v>
      </c>
    </row>
    <row r="195" ht="15.75" customHeight="1">
      <c r="A195" s="92"/>
      <c r="B195" s="92"/>
      <c r="C195" s="43"/>
      <c r="D195" s="82"/>
      <c r="E195" s="73">
        <v>14.0</v>
      </c>
      <c r="F195" s="73">
        <v>15.0</v>
      </c>
      <c r="G195" s="25">
        <f t="shared" si="24"/>
        <v>-0.3666666667</v>
      </c>
      <c r="H195" s="106">
        <v>-77.0</v>
      </c>
      <c r="I195" s="76" t="s">
        <v>59</v>
      </c>
      <c r="J195" s="83" t="s">
        <v>60</v>
      </c>
      <c r="K195" s="89">
        <v>49017.28</v>
      </c>
      <c r="L195" s="90">
        <f>K195+15</f>
        <v>49032.28</v>
      </c>
      <c r="M195" s="84"/>
      <c r="N195" s="91">
        <v>46141.0</v>
      </c>
      <c r="O195" s="85">
        <v>0.8972222222222223</v>
      </c>
      <c r="P195" s="38"/>
    </row>
    <row r="196" ht="15.75" customHeight="1">
      <c r="C196" s="44">
        <f>SUM(G192:G198)</f>
        <v>2.783190476</v>
      </c>
      <c r="D196" s="38"/>
      <c r="E196" s="13">
        <v>21.0</v>
      </c>
      <c r="F196" s="13">
        <v>10.0</v>
      </c>
      <c r="G196" s="25">
        <f t="shared" si="24"/>
        <v>-1.274</v>
      </c>
      <c r="H196" s="13">
        <v>-267.54</v>
      </c>
      <c r="I196" s="13" t="s">
        <v>59</v>
      </c>
      <c r="J196" s="13" t="s">
        <v>22</v>
      </c>
      <c r="K196" s="13">
        <v>27112.85</v>
      </c>
      <c r="L196" s="55">
        <f>K196-10</f>
        <v>27102.85</v>
      </c>
      <c r="M196" s="38"/>
      <c r="N196" s="50">
        <v>46141.0</v>
      </c>
      <c r="O196" s="46">
        <v>0.9097222222222222</v>
      </c>
      <c r="P196" s="38"/>
    </row>
    <row r="197" ht="15.75" customHeight="1">
      <c r="D197" s="38"/>
      <c r="E197" s="38"/>
      <c r="F197" s="38"/>
      <c r="G197" s="38"/>
      <c r="H197" s="38"/>
      <c r="I197" s="38"/>
      <c r="J197" s="38"/>
      <c r="K197" s="38"/>
      <c r="L197" s="55"/>
      <c r="M197" s="38"/>
      <c r="N197" s="38"/>
      <c r="O197" s="38"/>
      <c r="P197" s="38"/>
    </row>
    <row r="198" ht="15.75" customHeight="1">
      <c r="D198" s="38"/>
      <c r="E198" s="38"/>
      <c r="F198" s="38"/>
      <c r="G198" s="38"/>
      <c r="H198" s="38"/>
      <c r="I198" s="38"/>
      <c r="J198" s="38"/>
      <c r="K198" s="38"/>
      <c r="L198" s="55"/>
      <c r="M198" s="38"/>
      <c r="N198" s="38"/>
      <c r="O198" s="38"/>
      <c r="P198" s="38"/>
    </row>
    <row r="199" ht="15.75" customHeight="1">
      <c r="D199" s="38"/>
      <c r="E199" s="38"/>
      <c r="F199" s="38"/>
      <c r="G199" s="38"/>
      <c r="H199" s="38"/>
      <c r="I199" s="38"/>
      <c r="J199" s="38"/>
      <c r="K199" s="38"/>
      <c r="L199" s="55"/>
      <c r="M199" s="38"/>
      <c r="N199" s="38"/>
      <c r="O199" s="38"/>
      <c r="P199" s="38"/>
    </row>
    <row r="200" ht="15.75" customHeight="1">
      <c r="D200" s="38"/>
      <c r="E200" s="38"/>
      <c r="F200" s="38"/>
      <c r="G200" s="38"/>
      <c r="H200" s="38"/>
      <c r="I200" s="38"/>
      <c r="J200" s="38"/>
      <c r="K200" s="38"/>
      <c r="L200" s="55"/>
      <c r="M200" s="38"/>
      <c r="N200" s="38"/>
      <c r="O200" s="38"/>
      <c r="P200" s="38"/>
    </row>
    <row r="201" ht="15.75" customHeight="1">
      <c r="D201" s="38"/>
      <c r="E201" s="38"/>
      <c r="F201" s="38"/>
      <c r="G201" s="38"/>
      <c r="H201" s="38"/>
      <c r="I201" s="38"/>
      <c r="J201" s="38"/>
      <c r="K201" s="38"/>
      <c r="L201" s="55"/>
      <c r="M201" s="38"/>
      <c r="N201" s="38"/>
      <c r="O201" s="38"/>
      <c r="P201" s="38"/>
    </row>
    <row r="202" ht="15.75" customHeight="1">
      <c r="D202" s="38"/>
      <c r="E202" s="38"/>
      <c r="F202" s="38"/>
      <c r="G202" s="38"/>
      <c r="H202" s="38"/>
      <c r="I202" s="38"/>
      <c r="J202" s="38"/>
      <c r="K202" s="38"/>
      <c r="L202" s="55"/>
      <c r="M202" s="38"/>
      <c r="N202" s="38"/>
      <c r="O202" s="38"/>
      <c r="P202" s="38"/>
    </row>
    <row r="203" ht="15.75" customHeight="1">
      <c r="A203" s="71" t="s">
        <v>55</v>
      </c>
      <c r="B203" s="22"/>
      <c r="C203" s="23">
        <f>SUM(H203:H209)</f>
        <v>-304.89</v>
      </c>
      <c r="D203" s="72"/>
      <c r="E203" s="84">
        <v>13.0</v>
      </c>
      <c r="F203" s="73">
        <v>10.0</v>
      </c>
      <c r="G203" s="25">
        <f t="shared" ref="G203:G207" si="25">H203 / ( ABS(L203-K203) * E203)</f>
        <v>2.515</v>
      </c>
      <c r="H203" s="106">
        <v>326.95</v>
      </c>
      <c r="I203" s="87" t="s">
        <v>59</v>
      </c>
      <c r="J203" s="76" t="s">
        <v>22</v>
      </c>
      <c r="K203" s="107">
        <v>27930.2</v>
      </c>
      <c r="L203" s="77">
        <f>K203-10</f>
        <v>27920.2</v>
      </c>
      <c r="M203" s="128">
        <v>27955.35</v>
      </c>
      <c r="N203" s="78">
        <v>46147.0</v>
      </c>
      <c r="O203" s="79">
        <v>0.8986111111111111</v>
      </c>
      <c r="P203" s="38"/>
    </row>
    <row r="204" ht="15.75" customHeight="1">
      <c r="A204" s="80" t="s">
        <v>73</v>
      </c>
      <c r="B204" s="81">
        <v>150.0</v>
      </c>
      <c r="C204" s="37"/>
      <c r="D204" s="82"/>
      <c r="E204" s="73">
        <v>14.0</v>
      </c>
      <c r="F204" s="73">
        <v>15.0</v>
      </c>
      <c r="G204" s="25">
        <f t="shared" si="25"/>
        <v>-1.193333333</v>
      </c>
      <c r="H204" s="106">
        <v>-250.6</v>
      </c>
      <c r="I204" s="76" t="s">
        <v>59</v>
      </c>
      <c r="J204" s="83" t="s">
        <v>60</v>
      </c>
      <c r="K204" s="107">
        <v>49820.13</v>
      </c>
      <c r="L204" s="77">
        <f t="shared" ref="L204:L206" si="26">K204-15</f>
        <v>49805.13</v>
      </c>
      <c r="M204" s="84"/>
      <c r="N204" s="78">
        <v>46148.0</v>
      </c>
      <c r="O204" s="85">
        <v>0.8958333333333334</v>
      </c>
      <c r="P204" s="38"/>
    </row>
    <row r="205" ht="15.75" customHeight="1">
      <c r="A205" s="80" t="s">
        <v>112</v>
      </c>
      <c r="B205" s="86">
        <f>C203-B204</f>
        <v>-454.89</v>
      </c>
      <c r="C205" s="37"/>
      <c r="D205" s="82"/>
      <c r="E205" s="73">
        <v>14.0</v>
      </c>
      <c r="F205" s="73">
        <v>15.0</v>
      </c>
      <c r="G205" s="25">
        <f t="shared" si="25"/>
        <v>0.1619047619</v>
      </c>
      <c r="H205" s="74">
        <v>34.0</v>
      </c>
      <c r="I205" s="76" t="s">
        <v>59</v>
      </c>
      <c r="J205" s="83" t="s">
        <v>60</v>
      </c>
      <c r="K205" s="89">
        <v>49868.78</v>
      </c>
      <c r="L205" s="90">
        <f t="shared" si="26"/>
        <v>49853.78</v>
      </c>
      <c r="M205" s="113"/>
      <c r="N205" s="91">
        <v>46148.0</v>
      </c>
      <c r="O205" s="79">
        <v>0.9</v>
      </c>
      <c r="P205" s="13"/>
    </row>
    <row r="206" ht="15.75" customHeight="1">
      <c r="A206" s="92"/>
      <c r="B206" s="92"/>
      <c r="C206" s="43"/>
      <c r="D206" s="82"/>
      <c r="E206" s="73">
        <v>14.0</v>
      </c>
      <c r="F206" s="73">
        <v>15.0</v>
      </c>
      <c r="G206" s="25">
        <f t="shared" si="25"/>
        <v>-0.9033333333</v>
      </c>
      <c r="H206" s="106">
        <v>-189.7</v>
      </c>
      <c r="I206" s="76" t="s">
        <v>59</v>
      </c>
      <c r="J206" s="83" t="s">
        <v>60</v>
      </c>
      <c r="K206" s="89">
        <v>49880.78</v>
      </c>
      <c r="L206" s="90">
        <f t="shared" si="26"/>
        <v>49865.78</v>
      </c>
      <c r="M206" s="84"/>
      <c r="N206" s="91">
        <v>46148.0</v>
      </c>
      <c r="O206" s="85">
        <v>0.9006944444444445</v>
      </c>
      <c r="P206" s="38"/>
    </row>
    <row r="207" ht="27.75" customHeight="1">
      <c r="C207" s="44">
        <f>SUM(G203:G209)</f>
        <v>-0.4937619048</v>
      </c>
      <c r="D207" s="38"/>
      <c r="E207" s="13">
        <v>21.0</v>
      </c>
      <c r="F207" s="13">
        <v>10.0</v>
      </c>
      <c r="G207" s="25">
        <f t="shared" si="25"/>
        <v>-1.074</v>
      </c>
      <c r="H207" s="13">
        <v>-225.54</v>
      </c>
      <c r="I207" s="13" t="s">
        <v>59</v>
      </c>
      <c r="J207" s="13" t="s">
        <v>22</v>
      </c>
      <c r="K207" s="13">
        <v>28375.25</v>
      </c>
      <c r="L207" s="55">
        <f>K207-10</f>
        <v>28365.25</v>
      </c>
      <c r="M207" s="38"/>
      <c r="N207" s="50">
        <v>46148.0</v>
      </c>
      <c r="O207" s="46">
        <v>0.9048611111111111</v>
      </c>
      <c r="P207" s="13" t="s">
        <v>480</v>
      </c>
    </row>
    <row r="208" ht="15.75" customHeight="1">
      <c r="D208" s="38"/>
      <c r="E208" s="38"/>
      <c r="F208" s="38"/>
      <c r="G208" s="38"/>
      <c r="H208" s="38"/>
      <c r="I208" s="38"/>
      <c r="J208" s="38"/>
      <c r="K208" s="38"/>
      <c r="L208" s="55"/>
      <c r="M208" s="38"/>
      <c r="N208" s="38"/>
      <c r="O208" s="38"/>
      <c r="P208" s="38"/>
    </row>
    <row r="209" ht="15.75" customHeight="1">
      <c r="D209" s="38"/>
      <c r="E209" s="38"/>
      <c r="F209" s="38"/>
      <c r="G209" s="38"/>
      <c r="H209" s="38"/>
      <c r="I209" s="38"/>
      <c r="J209" s="38"/>
      <c r="K209" s="38"/>
      <c r="L209" s="55"/>
      <c r="M209" s="38"/>
      <c r="N209" s="38"/>
      <c r="O209" s="38"/>
      <c r="P209" s="38"/>
    </row>
    <row r="210" ht="15.75" customHeight="1">
      <c r="D210" s="38"/>
      <c r="E210" s="38"/>
      <c r="F210" s="38"/>
      <c r="G210" s="38"/>
      <c r="H210" s="38"/>
      <c r="I210" s="38"/>
      <c r="J210" s="38"/>
      <c r="K210" s="38"/>
      <c r="L210" s="55"/>
      <c r="M210" s="38"/>
      <c r="N210" s="38"/>
      <c r="O210" s="38"/>
      <c r="P210" s="38"/>
    </row>
    <row r="211" ht="15.75" customHeight="1">
      <c r="A211" s="71" t="s">
        <v>55</v>
      </c>
      <c r="B211" s="22"/>
      <c r="C211" s="23">
        <f>SUM(H211:H217)</f>
        <v>1120.8</v>
      </c>
      <c r="D211" s="72"/>
      <c r="E211" s="84">
        <v>14.0</v>
      </c>
      <c r="F211" s="73">
        <v>15.0</v>
      </c>
      <c r="G211" s="25">
        <f t="shared" ref="G211:G214" si="27">H211 / ( ABS(L211-K211) * E211)</f>
        <v>-1.016666667</v>
      </c>
      <c r="H211" s="106">
        <v>-213.5</v>
      </c>
      <c r="I211" s="87" t="s">
        <v>59</v>
      </c>
      <c r="J211" s="76" t="s">
        <v>60</v>
      </c>
      <c r="K211" s="107">
        <v>49673.93</v>
      </c>
      <c r="L211" s="77">
        <f t="shared" ref="L211:L212" si="28">K211-15</f>
        <v>49658.93</v>
      </c>
      <c r="M211" s="128"/>
      <c r="N211" s="78">
        <v>46153.0</v>
      </c>
      <c r="O211" s="79">
        <v>0.8958333333333334</v>
      </c>
      <c r="P211" s="13" t="s">
        <v>481</v>
      </c>
    </row>
    <row r="212" ht="15.75" customHeight="1">
      <c r="A212" s="80" t="s">
        <v>73</v>
      </c>
      <c r="B212" s="81">
        <v>150.0</v>
      </c>
      <c r="C212" s="37"/>
      <c r="D212" s="82"/>
      <c r="E212" s="73">
        <v>14.0</v>
      </c>
      <c r="F212" s="73">
        <v>15.0</v>
      </c>
      <c r="G212" s="25">
        <f t="shared" si="27"/>
        <v>-0.97</v>
      </c>
      <c r="H212" s="106">
        <v>-203.7</v>
      </c>
      <c r="I212" s="76" t="s">
        <v>59</v>
      </c>
      <c r="J212" s="83" t="s">
        <v>60</v>
      </c>
      <c r="K212" s="107">
        <v>49523.23</v>
      </c>
      <c r="L212" s="77">
        <f t="shared" si="28"/>
        <v>49508.23</v>
      </c>
      <c r="M212" s="84"/>
      <c r="N212" s="78">
        <v>46153.0</v>
      </c>
      <c r="O212" s="85">
        <v>0.9020833333333333</v>
      </c>
      <c r="P212" s="38"/>
    </row>
    <row r="213" ht="15.75" customHeight="1">
      <c r="A213" s="80" t="s">
        <v>112</v>
      </c>
      <c r="B213" s="86">
        <f>C211-B212</f>
        <v>970.8</v>
      </c>
      <c r="C213" s="37"/>
      <c r="D213" s="82"/>
      <c r="E213" s="73">
        <v>14.0</v>
      </c>
      <c r="F213" s="73">
        <v>15.0</v>
      </c>
      <c r="G213" s="25">
        <f t="shared" si="27"/>
        <v>2.761904762</v>
      </c>
      <c r="H213" s="74">
        <v>580.0</v>
      </c>
      <c r="I213" s="76" t="s">
        <v>59</v>
      </c>
      <c r="J213" s="83" t="s">
        <v>60</v>
      </c>
      <c r="K213" s="89">
        <v>49575.23</v>
      </c>
      <c r="L213" s="90">
        <f t="shared" ref="L213:L214" si="29">K213+15</f>
        <v>49590.23</v>
      </c>
      <c r="M213" s="113">
        <v>49533.78</v>
      </c>
      <c r="N213" s="91">
        <v>46154.0</v>
      </c>
      <c r="O213" s="79">
        <v>0.8986111111111111</v>
      </c>
      <c r="P213" s="13"/>
    </row>
    <row r="214" ht="15.75" customHeight="1">
      <c r="A214" s="92"/>
      <c r="B214" s="92"/>
      <c r="C214" s="43"/>
      <c r="D214" s="82"/>
      <c r="E214" s="73">
        <v>14.0</v>
      </c>
      <c r="F214" s="73">
        <v>15.0</v>
      </c>
      <c r="G214" s="25">
        <f t="shared" si="27"/>
        <v>4.561904762</v>
      </c>
      <c r="H214" s="106">
        <v>958.0</v>
      </c>
      <c r="I214" s="76" t="s">
        <v>59</v>
      </c>
      <c r="J214" s="83" t="s">
        <v>60</v>
      </c>
      <c r="K214" s="89">
        <v>50034.23</v>
      </c>
      <c r="L214" s="90">
        <f t="shared" si="29"/>
        <v>50049.23</v>
      </c>
      <c r="M214" s="84">
        <v>49965.78</v>
      </c>
      <c r="N214" s="91">
        <v>46156.0</v>
      </c>
      <c r="O214" s="85">
        <v>0.8986111111111111</v>
      </c>
      <c r="P214" s="38"/>
    </row>
    <row r="215" ht="15.75" customHeight="1">
      <c r="C215" s="44">
        <f>SUM(G211:G217)</f>
        <v>5.337142857</v>
      </c>
      <c r="D215" s="38"/>
      <c r="E215" s="38"/>
      <c r="F215" s="38"/>
      <c r="G215" s="38"/>
      <c r="H215" s="38"/>
      <c r="I215" s="38"/>
      <c r="J215" s="38"/>
      <c r="K215" s="38"/>
      <c r="L215" s="55"/>
      <c r="M215" s="38"/>
      <c r="N215" s="38"/>
      <c r="O215" s="38"/>
      <c r="P215" s="38"/>
    </row>
    <row r="216" ht="15.75" customHeight="1">
      <c r="D216" s="38"/>
      <c r="E216" s="38"/>
      <c r="F216" s="38"/>
      <c r="G216" s="38"/>
      <c r="H216" s="38"/>
      <c r="I216" s="38"/>
      <c r="J216" s="38"/>
      <c r="K216" s="38"/>
      <c r="L216" s="55"/>
      <c r="M216" s="38"/>
      <c r="N216" s="38"/>
      <c r="O216" s="38"/>
      <c r="P216" s="38"/>
    </row>
    <row r="217" ht="15.75" customHeight="1">
      <c r="D217" s="38"/>
      <c r="E217" s="38"/>
      <c r="F217" s="38"/>
      <c r="G217" s="38"/>
      <c r="H217" s="38"/>
      <c r="I217" s="38"/>
      <c r="J217" s="38"/>
      <c r="K217" s="38"/>
      <c r="L217" s="55"/>
      <c r="M217" s="38"/>
      <c r="N217" s="38"/>
      <c r="O217" s="38"/>
      <c r="P217" s="38"/>
    </row>
    <row r="218" ht="15.75" customHeight="1">
      <c r="D218" s="38"/>
      <c r="E218" s="38"/>
      <c r="F218" s="38"/>
      <c r="G218" s="38"/>
      <c r="H218" s="38"/>
      <c r="I218" s="38"/>
      <c r="J218" s="38"/>
      <c r="K218" s="38"/>
      <c r="L218" s="55"/>
      <c r="M218" s="38"/>
      <c r="N218" s="38"/>
      <c r="O218" s="38"/>
      <c r="P218" s="38"/>
    </row>
    <row r="219" ht="15.75" customHeight="1">
      <c r="D219" s="38"/>
      <c r="E219" s="38"/>
      <c r="F219" s="38"/>
      <c r="G219" s="38"/>
      <c r="H219" s="38"/>
      <c r="I219" s="38"/>
      <c r="J219" s="38"/>
      <c r="K219" s="38"/>
      <c r="L219" s="55"/>
      <c r="M219" s="38"/>
      <c r="N219" s="38"/>
      <c r="O219" s="38"/>
      <c r="P219" s="38"/>
    </row>
    <row r="220" ht="15.75" customHeight="1">
      <c r="D220" s="38"/>
      <c r="E220" s="38"/>
      <c r="F220" s="38"/>
      <c r="G220" s="38"/>
      <c r="H220" s="38"/>
      <c r="I220" s="38"/>
      <c r="J220" s="38"/>
      <c r="K220" s="38"/>
      <c r="L220" s="55"/>
      <c r="M220" s="38"/>
      <c r="N220" s="38"/>
      <c r="O220" s="38"/>
      <c r="P220" s="38"/>
    </row>
    <row r="221" ht="15.75" customHeight="1">
      <c r="D221" s="38"/>
      <c r="E221" s="38"/>
      <c r="F221" s="38"/>
      <c r="G221" s="38"/>
      <c r="H221" s="38"/>
      <c r="I221" s="38"/>
      <c r="J221" s="38"/>
      <c r="K221" s="38"/>
      <c r="L221" s="55"/>
      <c r="M221" s="38"/>
      <c r="N221" s="38"/>
      <c r="O221" s="38"/>
      <c r="P221" s="38"/>
    </row>
    <row r="222" ht="15.75" customHeight="1">
      <c r="A222" s="71" t="s">
        <v>55</v>
      </c>
      <c r="B222" s="22"/>
      <c r="C222" s="23">
        <f>SUM(H222:H228)</f>
        <v>475.98</v>
      </c>
      <c r="D222" s="72"/>
      <c r="E222" s="84">
        <v>14.0</v>
      </c>
      <c r="F222" s="73">
        <v>15.0</v>
      </c>
      <c r="G222" s="25">
        <f t="shared" ref="G222:G228" si="30">H222 / ( ABS(L222-K222) * E222)</f>
        <v>-1.103333333</v>
      </c>
      <c r="H222" s="106">
        <v>-231.7</v>
      </c>
      <c r="I222" s="87" t="s">
        <v>59</v>
      </c>
      <c r="J222" s="76" t="s">
        <v>60</v>
      </c>
      <c r="K222" s="107">
        <v>49519.23</v>
      </c>
      <c r="L222" s="77">
        <f>K222+15</f>
        <v>49534.23</v>
      </c>
      <c r="M222" s="128"/>
      <c r="N222" s="78">
        <v>46160.0</v>
      </c>
      <c r="O222" s="79">
        <v>0.8986111111111111</v>
      </c>
      <c r="P222" s="13"/>
    </row>
    <row r="223" ht="15.75" customHeight="1">
      <c r="A223" s="80" t="s">
        <v>73</v>
      </c>
      <c r="B223" s="81">
        <v>150.0</v>
      </c>
      <c r="C223" s="37"/>
      <c r="D223" s="82"/>
      <c r="E223" s="73">
        <v>14.0</v>
      </c>
      <c r="F223" s="73">
        <v>15.0</v>
      </c>
      <c r="G223" s="25">
        <f t="shared" si="30"/>
        <v>0.09523809524</v>
      </c>
      <c r="H223" s="106">
        <v>20.0</v>
      </c>
      <c r="I223" s="76"/>
      <c r="J223" s="83" t="s">
        <v>60</v>
      </c>
      <c r="K223" s="107">
        <v>49668.78</v>
      </c>
      <c r="L223" s="77">
        <f t="shared" ref="L223:L225" si="31">K223-15</f>
        <v>49653.78</v>
      </c>
      <c r="M223" s="84"/>
      <c r="N223" s="78">
        <v>46160.0</v>
      </c>
      <c r="O223" s="85">
        <v>0.9076388888888889</v>
      </c>
      <c r="P223" s="13" t="s">
        <v>482</v>
      </c>
    </row>
    <row r="224" ht="15.75" customHeight="1">
      <c r="A224" s="80" t="s">
        <v>112</v>
      </c>
      <c r="B224" s="86">
        <f>C222-B223</f>
        <v>325.98</v>
      </c>
      <c r="C224" s="37"/>
      <c r="D224" s="82"/>
      <c r="E224" s="73">
        <v>14.0</v>
      </c>
      <c r="F224" s="73">
        <v>15.0</v>
      </c>
      <c r="G224" s="25">
        <f t="shared" si="30"/>
        <v>-1.17</v>
      </c>
      <c r="H224" s="74">
        <v>-245.7</v>
      </c>
      <c r="I224" s="76"/>
      <c r="J224" s="83" t="s">
        <v>60</v>
      </c>
      <c r="K224" s="89">
        <v>49676.78</v>
      </c>
      <c r="L224" s="77">
        <f t="shared" si="31"/>
        <v>49661.78</v>
      </c>
      <c r="M224" s="113"/>
      <c r="N224" s="91">
        <v>46160.0</v>
      </c>
      <c r="O224" s="79">
        <v>0.9013888888888889</v>
      </c>
      <c r="P224" s="13" t="s">
        <v>482</v>
      </c>
    </row>
    <row r="225" ht="15.75" customHeight="1">
      <c r="A225" s="92"/>
      <c r="B225" s="92"/>
      <c r="C225" s="43"/>
      <c r="D225" s="82"/>
      <c r="E225" s="73">
        <v>14.0</v>
      </c>
      <c r="F225" s="73">
        <v>15.0</v>
      </c>
      <c r="G225" s="25">
        <f t="shared" si="30"/>
        <v>0</v>
      </c>
      <c r="H225" s="106">
        <v>0.0</v>
      </c>
      <c r="I225" s="76"/>
      <c r="J225" s="83" t="s">
        <v>60</v>
      </c>
      <c r="K225" s="89">
        <v>49700.78</v>
      </c>
      <c r="L225" s="77">
        <f t="shared" si="31"/>
        <v>49685.78</v>
      </c>
      <c r="M225" s="84"/>
      <c r="N225" s="91">
        <v>46160.0</v>
      </c>
      <c r="O225" s="85">
        <v>0.9090277777777778</v>
      </c>
      <c r="P225" s="13" t="s">
        <v>482</v>
      </c>
    </row>
    <row r="226" ht="15.75" customHeight="1">
      <c r="C226" s="44">
        <f>SUM(G222:G228)</f>
        <v>2.266571429</v>
      </c>
      <c r="D226" s="38"/>
      <c r="E226" s="13">
        <v>7.0</v>
      </c>
      <c r="F226" s="13">
        <v>30.0</v>
      </c>
      <c r="G226" s="25">
        <f t="shared" si="30"/>
        <v>2.826</v>
      </c>
      <c r="H226" s="13">
        <v>593.46</v>
      </c>
      <c r="I226" s="13" t="s">
        <v>59</v>
      </c>
      <c r="J226" s="13" t="s">
        <v>60</v>
      </c>
      <c r="K226" s="13">
        <v>49392.4</v>
      </c>
      <c r="L226" s="55">
        <f t="shared" ref="L226:L228" si="32">K226+30</f>
        <v>49422.4</v>
      </c>
      <c r="M226" s="13">
        <v>49307.62</v>
      </c>
      <c r="N226" s="50">
        <v>46161.0</v>
      </c>
      <c r="O226" s="46">
        <v>0.8965277777777778</v>
      </c>
      <c r="P226" s="38"/>
    </row>
    <row r="227" ht="15.75" customHeight="1">
      <c r="D227" s="38"/>
      <c r="E227" s="13">
        <v>7.0</v>
      </c>
      <c r="F227" s="13">
        <v>30.0</v>
      </c>
      <c r="G227" s="25">
        <f t="shared" si="30"/>
        <v>2.759333333</v>
      </c>
      <c r="H227" s="13">
        <v>579.46</v>
      </c>
      <c r="I227" s="13" t="s">
        <v>59</v>
      </c>
      <c r="J227" s="13" t="s">
        <v>60</v>
      </c>
      <c r="K227" s="13">
        <v>49480.4</v>
      </c>
      <c r="L227" s="55">
        <f t="shared" si="32"/>
        <v>49510.4</v>
      </c>
      <c r="M227" s="13">
        <v>49397.62</v>
      </c>
      <c r="N227" s="50">
        <v>46162.0</v>
      </c>
      <c r="O227" s="46">
        <v>0.8965277777777778</v>
      </c>
      <c r="P227" s="38"/>
    </row>
    <row r="228" ht="15.75" customHeight="1">
      <c r="D228" s="38"/>
      <c r="E228" s="13">
        <v>7.0</v>
      </c>
      <c r="F228" s="13">
        <v>30.0</v>
      </c>
      <c r="G228" s="25">
        <f t="shared" si="30"/>
        <v>-1.140666667</v>
      </c>
      <c r="H228" s="13">
        <v>-239.54</v>
      </c>
      <c r="I228" s="13" t="s">
        <v>59</v>
      </c>
      <c r="J228" s="13" t="s">
        <v>60</v>
      </c>
      <c r="K228" s="13">
        <v>49810.42</v>
      </c>
      <c r="L228" s="55">
        <f t="shared" si="32"/>
        <v>49840.42</v>
      </c>
      <c r="M228" s="38"/>
      <c r="N228" s="50">
        <v>46163.0</v>
      </c>
      <c r="O228" s="46">
        <v>0.8965277777777778</v>
      </c>
      <c r="P228" s="13" t="s">
        <v>483</v>
      </c>
    </row>
    <row r="229" ht="16.5" customHeight="1">
      <c r="D229" s="38"/>
      <c r="E229" s="38"/>
      <c r="F229" s="38"/>
      <c r="G229" s="38"/>
      <c r="H229" s="38"/>
      <c r="I229" s="38"/>
      <c r="J229" s="38"/>
      <c r="K229" s="38"/>
      <c r="L229" s="55"/>
      <c r="M229" s="38"/>
      <c r="N229" s="38"/>
      <c r="O229" s="38"/>
      <c r="P229" s="38"/>
    </row>
    <row r="230" ht="15.75" customHeight="1">
      <c r="A230" s="68"/>
      <c r="B230" s="68"/>
      <c r="C230" s="68"/>
      <c r="D230" s="69"/>
      <c r="E230" s="69"/>
      <c r="F230" s="69"/>
      <c r="G230" s="69"/>
      <c r="H230" s="69"/>
      <c r="I230" s="69"/>
      <c r="J230" s="69"/>
      <c r="K230" s="69"/>
      <c r="L230" s="70"/>
      <c r="M230" s="69"/>
      <c r="N230" s="69"/>
      <c r="O230" s="69"/>
      <c r="P230" s="69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</row>
    <row r="231" ht="15.75" customHeight="1">
      <c r="D231" s="38"/>
      <c r="E231" s="38"/>
      <c r="F231" s="38"/>
      <c r="G231" s="38"/>
      <c r="H231" s="38"/>
      <c r="I231" s="38"/>
      <c r="J231" s="38"/>
      <c r="K231" s="38"/>
      <c r="L231" s="55"/>
      <c r="M231" s="38"/>
      <c r="N231" s="38"/>
      <c r="O231" s="38"/>
      <c r="P231" s="38"/>
    </row>
    <row r="232" ht="15.75" customHeight="1">
      <c r="D232" s="38"/>
      <c r="E232" s="38"/>
      <c r="F232" s="38"/>
      <c r="G232" s="38"/>
      <c r="H232" s="38"/>
      <c r="I232" s="38"/>
      <c r="J232" s="38"/>
      <c r="K232" s="38"/>
      <c r="L232" s="55"/>
      <c r="M232" s="38"/>
      <c r="N232" s="38"/>
      <c r="O232" s="38"/>
      <c r="P232" s="38"/>
    </row>
    <row r="233" ht="15.75" customHeight="1">
      <c r="D233" s="38"/>
      <c r="E233" s="38"/>
      <c r="F233" s="38"/>
      <c r="G233" s="38"/>
      <c r="H233" s="38"/>
      <c r="I233" s="38"/>
      <c r="J233" s="38"/>
      <c r="K233" s="38"/>
      <c r="L233" s="55"/>
      <c r="M233" s="38"/>
      <c r="N233" s="38"/>
      <c r="O233" s="38"/>
      <c r="P233" s="38"/>
    </row>
    <row r="234" ht="15.75" customHeight="1">
      <c r="A234" s="71" t="s">
        <v>55</v>
      </c>
      <c r="B234" s="22"/>
      <c r="C234" s="23">
        <f>SUM(H234:H240)</f>
        <v>577.92</v>
      </c>
      <c r="D234" s="72"/>
      <c r="E234" s="84">
        <v>7.0</v>
      </c>
      <c r="F234" s="73">
        <v>30.0</v>
      </c>
      <c r="G234" s="25">
        <f>H234 / ( ABS(L234-K234) * E234)</f>
        <v>2.752</v>
      </c>
      <c r="H234" s="106">
        <v>577.92</v>
      </c>
      <c r="I234" s="13" t="s">
        <v>59</v>
      </c>
      <c r="J234" s="13" t="s">
        <v>60</v>
      </c>
      <c r="K234" s="13">
        <v>50547.42</v>
      </c>
      <c r="L234" s="55">
        <f>K234+30</f>
        <v>50577.42</v>
      </c>
      <c r="M234" s="13">
        <v>50464.86</v>
      </c>
      <c r="N234" s="50">
        <v>46170.0</v>
      </c>
      <c r="O234" s="46">
        <v>0.8958333333333334</v>
      </c>
      <c r="P234" s="13"/>
    </row>
    <row r="235" ht="15.75" customHeight="1">
      <c r="A235" s="80" t="s">
        <v>73</v>
      </c>
      <c r="B235" s="81">
        <v>150.0</v>
      </c>
      <c r="C235" s="37"/>
      <c r="D235" s="82"/>
      <c r="E235" s="73"/>
      <c r="F235" s="73"/>
      <c r="G235" s="25"/>
      <c r="H235" s="106"/>
      <c r="I235" s="76"/>
      <c r="J235" s="83"/>
      <c r="K235" s="107"/>
      <c r="L235" s="77"/>
      <c r="M235" s="84"/>
      <c r="N235" s="78"/>
      <c r="O235" s="85"/>
      <c r="P235" s="13"/>
    </row>
    <row r="236" ht="15.75" customHeight="1">
      <c r="A236" s="80" t="s">
        <v>112</v>
      </c>
      <c r="B236" s="86">
        <f>C234-B235</f>
        <v>427.92</v>
      </c>
      <c r="C236" s="37"/>
      <c r="D236" s="82"/>
      <c r="E236" s="73"/>
      <c r="F236" s="73"/>
      <c r="G236" s="25"/>
      <c r="H236" s="74"/>
      <c r="I236" s="76"/>
      <c r="J236" s="83"/>
      <c r="K236" s="89"/>
      <c r="L236" s="77"/>
      <c r="M236" s="113"/>
      <c r="N236" s="91"/>
      <c r="O236" s="79"/>
      <c r="P236" s="13"/>
    </row>
    <row r="237" ht="15.75" customHeight="1">
      <c r="A237" s="92"/>
      <c r="B237" s="92"/>
      <c r="C237" s="43"/>
      <c r="D237" s="82"/>
      <c r="E237" s="73"/>
      <c r="F237" s="73"/>
      <c r="G237" s="25"/>
      <c r="H237" s="106"/>
      <c r="I237" s="76"/>
      <c r="J237" s="83"/>
      <c r="K237" s="89"/>
      <c r="L237" s="77"/>
      <c r="M237" s="84"/>
      <c r="N237" s="91"/>
      <c r="O237" s="85"/>
      <c r="P237" s="13"/>
    </row>
    <row r="238" ht="15.75" customHeight="1">
      <c r="C238" s="44">
        <f>SUM(G234:G240)</f>
        <v>2.752</v>
      </c>
      <c r="D238" s="38"/>
      <c r="E238" s="13"/>
      <c r="F238" s="13"/>
      <c r="G238" s="25"/>
      <c r="H238" s="13"/>
      <c r="I238" s="13"/>
      <c r="J238" s="13"/>
      <c r="K238" s="13"/>
      <c r="L238" s="55"/>
      <c r="M238" s="13"/>
      <c r="N238" s="50"/>
      <c r="O238" s="46"/>
      <c r="P238" s="38"/>
    </row>
    <row r="239" ht="15.75" customHeight="1">
      <c r="D239" s="38"/>
      <c r="E239" s="13"/>
      <c r="F239" s="13"/>
      <c r="G239" s="25"/>
      <c r="H239" s="13"/>
      <c r="I239" s="13"/>
      <c r="J239" s="13"/>
      <c r="K239" s="13"/>
      <c r="L239" s="55"/>
      <c r="M239" s="13"/>
      <c r="N239" s="50"/>
      <c r="O239" s="46"/>
      <c r="P239" s="38"/>
    </row>
    <row r="240" ht="15.75" customHeight="1">
      <c r="D240" s="38"/>
      <c r="E240" s="38"/>
      <c r="F240" s="38"/>
      <c r="G240" s="38"/>
      <c r="H240" s="38"/>
      <c r="I240" s="38"/>
      <c r="J240" s="38"/>
      <c r="K240" s="38"/>
      <c r="L240" s="55"/>
      <c r="M240" s="38"/>
      <c r="N240" s="38"/>
      <c r="O240" s="38"/>
      <c r="P240" s="38"/>
    </row>
    <row r="241" ht="15.75" customHeight="1">
      <c r="D241" s="38"/>
      <c r="E241" s="38"/>
      <c r="F241" s="38"/>
      <c r="G241" s="38"/>
      <c r="H241" s="38"/>
      <c r="I241" s="38"/>
      <c r="J241" s="38"/>
      <c r="K241" s="38"/>
      <c r="L241" s="55"/>
      <c r="M241" s="38"/>
      <c r="N241" s="38"/>
      <c r="O241" s="38"/>
      <c r="P241" s="38"/>
    </row>
    <row r="242" ht="15.75" customHeight="1">
      <c r="D242" s="38"/>
      <c r="E242" s="38"/>
      <c r="F242" s="38"/>
      <c r="G242" s="38"/>
      <c r="H242" s="38"/>
      <c r="I242" s="38"/>
      <c r="J242" s="38"/>
      <c r="K242" s="38"/>
      <c r="L242" s="55"/>
      <c r="M242" s="38"/>
      <c r="N242" s="38"/>
      <c r="O242" s="38"/>
      <c r="P242" s="38"/>
    </row>
    <row r="243" ht="15.75" customHeight="1">
      <c r="A243" s="71" t="s">
        <v>55</v>
      </c>
      <c r="B243" s="22"/>
      <c r="C243" s="23">
        <f>SUM(H243:H249)</f>
        <v>122.22</v>
      </c>
      <c r="D243" s="72"/>
      <c r="E243" s="84">
        <v>7.0</v>
      </c>
      <c r="F243" s="73">
        <v>30.0</v>
      </c>
      <c r="G243" s="25">
        <f t="shared" ref="G243:G245" si="33">H243 / ( ABS(L243-K243) * E243)</f>
        <v>-1.007333333</v>
      </c>
      <c r="H243" s="106">
        <v>-211.54</v>
      </c>
      <c r="I243" s="13" t="s">
        <v>59</v>
      </c>
      <c r="J243" s="13" t="s">
        <v>60</v>
      </c>
      <c r="K243" s="13">
        <v>50854.39</v>
      </c>
      <c r="L243" s="55">
        <f>K243+30</f>
        <v>50884.39</v>
      </c>
      <c r="M243" s="13"/>
      <c r="N243" s="50">
        <v>46174.0</v>
      </c>
      <c r="O243" s="46">
        <v>0.8965277777777778</v>
      </c>
      <c r="P243" s="13"/>
    </row>
    <row r="244" ht="15.75" customHeight="1">
      <c r="A244" s="80" t="s">
        <v>73</v>
      </c>
      <c r="B244" s="81">
        <v>150.0</v>
      </c>
      <c r="C244" s="37"/>
      <c r="D244" s="82"/>
      <c r="E244" s="73">
        <v>8.4</v>
      </c>
      <c r="F244" s="73">
        <v>25.0</v>
      </c>
      <c r="G244" s="25">
        <f t="shared" si="33"/>
        <v>2.63</v>
      </c>
      <c r="H244" s="106">
        <v>552.3</v>
      </c>
      <c r="I244" s="76" t="s">
        <v>59</v>
      </c>
      <c r="J244" s="83" t="s">
        <v>22</v>
      </c>
      <c r="K244" s="107">
        <v>30640.02</v>
      </c>
      <c r="L244" s="77">
        <f>K244+25</f>
        <v>30665.02</v>
      </c>
      <c r="M244" s="84">
        <v>30574.27</v>
      </c>
      <c r="N244" s="78">
        <v>46176.0</v>
      </c>
      <c r="O244" s="85">
        <v>0.9055555555555556</v>
      </c>
      <c r="P244" s="13"/>
    </row>
    <row r="245" ht="15.75" customHeight="1">
      <c r="A245" s="80" t="s">
        <v>112</v>
      </c>
      <c r="B245" s="86">
        <f>C243-B244</f>
        <v>-27.78</v>
      </c>
      <c r="C245" s="37"/>
      <c r="D245" s="82"/>
      <c r="E245" s="84">
        <v>7.0</v>
      </c>
      <c r="F245" s="73">
        <v>30.0</v>
      </c>
      <c r="G245" s="25">
        <f t="shared" si="33"/>
        <v>-1.040666667</v>
      </c>
      <c r="H245" s="74">
        <v>-218.54</v>
      </c>
      <c r="I245" s="76" t="s">
        <v>59</v>
      </c>
      <c r="J245" s="83" t="s">
        <v>60</v>
      </c>
      <c r="K245" s="89">
        <v>51385.62</v>
      </c>
      <c r="L245" s="77">
        <f>K245-30</f>
        <v>51355.62</v>
      </c>
      <c r="M245" s="113"/>
      <c r="N245" s="91">
        <v>46177.0</v>
      </c>
      <c r="O245" s="79">
        <v>0.9055555555555556</v>
      </c>
      <c r="P245" s="13"/>
    </row>
    <row r="246" ht="15.75" customHeight="1">
      <c r="A246" s="92"/>
      <c r="B246" s="92"/>
      <c r="C246" s="43"/>
      <c r="D246" s="82"/>
      <c r="E246" s="73"/>
      <c r="F246" s="73"/>
      <c r="G246" s="25"/>
      <c r="H246" s="106"/>
      <c r="I246" s="76"/>
      <c r="J246" s="83"/>
      <c r="K246" s="89"/>
      <c r="L246" s="77"/>
      <c r="M246" s="84"/>
      <c r="N246" s="91"/>
      <c r="O246" s="85"/>
      <c r="P246" s="13"/>
    </row>
    <row r="247" ht="15.75" customHeight="1">
      <c r="C247" s="44">
        <f>SUM(G243:G249)</f>
        <v>0.582</v>
      </c>
      <c r="D247" s="38"/>
      <c r="E247" s="13"/>
      <c r="F247" s="13"/>
      <c r="G247" s="25"/>
      <c r="H247" s="13"/>
      <c r="I247" s="13"/>
      <c r="J247" s="13"/>
      <c r="K247" s="13"/>
      <c r="L247" s="55"/>
      <c r="M247" s="13"/>
      <c r="N247" s="50"/>
      <c r="O247" s="46"/>
      <c r="P247" s="38"/>
    </row>
    <row r="248" ht="15.75" customHeight="1">
      <c r="D248" s="38"/>
      <c r="E248" s="38"/>
      <c r="F248" s="38"/>
      <c r="G248" s="38"/>
      <c r="H248" s="38"/>
      <c r="I248" s="38"/>
      <c r="J248" s="38"/>
      <c r="K248" s="38"/>
      <c r="L248" s="55"/>
      <c r="M248" s="38"/>
      <c r="N248" s="38"/>
      <c r="O248" s="38"/>
      <c r="P248" s="38"/>
    </row>
    <row r="249" ht="15.75" customHeight="1">
      <c r="D249" s="38"/>
      <c r="E249" s="38"/>
      <c r="F249" s="38"/>
      <c r="G249" s="38"/>
      <c r="H249" s="38"/>
      <c r="I249" s="38"/>
      <c r="J249" s="38"/>
      <c r="K249" s="38"/>
      <c r="L249" s="55"/>
      <c r="M249" s="38"/>
      <c r="N249" s="38"/>
      <c r="O249" s="38"/>
      <c r="P249" s="38"/>
    </row>
    <row r="250" ht="15.75" customHeight="1">
      <c r="D250" s="38"/>
      <c r="E250" s="38"/>
      <c r="F250" s="38"/>
      <c r="G250" s="38"/>
      <c r="H250" s="38"/>
      <c r="I250" s="38"/>
      <c r="J250" s="38"/>
      <c r="K250" s="38"/>
      <c r="L250" s="55"/>
      <c r="M250" s="38"/>
      <c r="N250" s="38"/>
      <c r="O250" s="38"/>
      <c r="P250" s="38"/>
    </row>
    <row r="251" ht="15.75" customHeight="1">
      <c r="D251" s="38"/>
      <c r="E251" s="38"/>
      <c r="F251" s="38"/>
      <c r="G251" s="38"/>
      <c r="H251" s="38"/>
      <c r="I251" s="38"/>
      <c r="J251" s="38"/>
      <c r="K251" s="38"/>
      <c r="L251" s="55"/>
      <c r="M251" s="38"/>
      <c r="N251" s="38"/>
      <c r="O251" s="38"/>
      <c r="P251" s="38"/>
    </row>
    <row r="252" ht="15.75" customHeight="1">
      <c r="D252" s="38"/>
      <c r="E252" s="38"/>
      <c r="F252" s="38"/>
      <c r="G252" s="38"/>
      <c r="H252" s="38"/>
      <c r="I252" s="38"/>
      <c r="J252" s="38"/>
      <c r="K252" s="38"/>
      <c r="L252" s="55"/>
      <c r="M252" s="38"/>
      <c r="N252" s="38"/>
      <c r="O252" s="38"/>
      <c r="P252" s="38"/>
    </row>
    <row r="253" ht="15.75" customHeight="1">
      <c r="D253" s="38"/>
      <c r="E253" s="38"/>
      <c r="F253" s="38"/>
      <c r="G253" s="38"/>
      <c r="H253" s="38"/>
      <c r="I253" s="38"/>
      <c r="J253" s="38"/>
      <c r="K253" s="38"/>
      <c r="L253" s="55"/>
      <c r="M253" s="38"/>
      <c r="N253" s="38"/>
      <c r="O253" s="38"/>
      <c r="P253" s="38"/>
    </row>
    <row r="254" ht="15.75" customHeight="1">
      <c r="D254" s="38"/>
      <c r="E254" s="38"/>
      <c r="F254" s="38"/>
      <c r="G254" s="38"/>
      <c r="H254" s="38"/>
      <c r="I254" s="38"/>
      <c r="J254" s="38"/>
      <c r="K254" s="38"/>
      <c r="L254" s="55"/>
      <c r="M254" s="38"/>
      <c r="N254" s="38"/>
      <c r="O254" s="38"/>
      <c r="P254" s="38"/>
    </row>
    <row r="255" ht="15.75" customHeight="1">
      <c r="D255" s="38"/>
      <c r="E255" s="38"/>
      <c r="F255" s="38"/>
      <c r="G255" s="38"/>
      <c r="H255" s="38"/>
      <c r="I255" s="38"/>
      <c r="J255" s="38"/>
      <c r="K255" s="38"/>
      <c r="L255" s="55"/>
      <c r="M255" s="38"/>
      <c r="N255" s="38"/>
      <c r="O255" s="38"/>
      <c r="P255" s="38"/>
    </row>
    <row r="256" ht="15.75" customHeight="1">
      <c r="D256" s="38"/>
      <c r="E256" s="38"/>
      <c r="F256" s="38"/>
      <c r="G256" s="38"/>
      <c r="H256" s="38"/>
      <c r="I256" s="38"/>
      <c r="J256" s="38"/>
      <c r="K256" s="38"/>
      <c r="L256" s="55"/>
      <c r="M256" s="38"/>
      <c r="N256" s="38"/>
      <c r="O256" s="38"/>
      <c r="P256" s="38"/>
    </row>
    <row r="257" ht="15.75" customHeight="1">
      <c r="A257" s="71" t="s">
        <v>55</v>
      </c>
      <c r="B257" s="22"/>
      <c r="C257" s="23">
        <f>SUM(H257:H263)</f>
        <v>-845.56</v>
      </c>
      <c r="D257" s="72"/>
      <c r="E257" s="84">
        <v>10.0</v>
      </c>
      <c r="F257" s="73">
        <v>30.0</v>
      </c>
      <c r="G257" s="25">
        <f t="shared" ref="G257:G260" si="34">H257 / ( ABS(L257-K257) * E257)</f>
        <v>-0.8103333333</v>
      </c>
      <c r="H257" s="106">
        <v>-243.1</v>
      </c>
      <c r="I257" s="13" t="s">
        <v>59</v>
      </c>
      <c r="J257" s="13" t="s">
        <v>60</v>
      </c>
      <c r="K257" s="13">
        <v>51221.66</v>
      </c>
      <c r="L257" s="55">
        <f>K257-30</f>
        <v>51191.66</v>
      </c>
      <c r="M257" s="13"/>
      <c r="N257" s="50">
        <v>46182.0</v>
      </c>
      <c r="O257" s="46">
        <v>0.8972222222222223</v>
      </c>
      <c r="P257" s="13" t="s">
        <v>484</v>
      </c>
    </row>
    <row r="258" ht="15.75" customHeight="1">
      <c r="A258" s="80" t="s">
        <v>73</v>
      </c>
      <c r="B258" s="81">
        <v>150.0</v>
      </c>
      <c r="C258" s="37"/>
      <c r="D258" s="82"/>
      <c r="E258" s="73">
        <v>10.0</v>
      </c>
      <c r="F258" s="73">
        <v>30.0</v>
      </c>
      <c r="G258" s="25">
        <f t="shared" si="34"/>
        <v>0</v>
      </c>
      <c r="H258" s="106">
        <v>0.0</v>
      </c>
      <c r="I258" s="76" t="s">
        <v>59</v>
      </c>
      <c r="J258" s="83" t="s">
        <v>60</v>
      </c>
      <c r="K258" s="107">
        <v>50605.53</v>
      </c>
      <c r="L258" s="77">
        <f>K258+30</f>
        <v>50635.53</v>
      </c>
      <c r="M258" s="84"/>
      <c r="N258" s="78">
        <v>46183.0</v>
      </c>
      <c r="O258" s="85">
        <v>0.8986111111111111</v>
      </c>
      <c r="P258" s="13"/>
    </row>
    <row r="259" ht="15.75" customHeight="1">
      <c r="A259" s="80" t="s">
        <v>112</v>
      </c>
      <c r="B259" s="86">
        <f>C257-B258</f>
        <v>-995.56</v>
      </c>
      <c r="C259" s="37"/>
      <c r="D259" s="82"/>
      <c r="E259" s="73">
        <v>12.0</v>
      </c>
      <c r="F259" s="73">
        <v>25.0</v>
      </c>
      <c r="G259" s="25">
        <f t="shared" si="34"/>
        <v>-1.0312</v>
      </c>
      <c r="H259" s="106">
        <v>-309.36</v>
      </c>
      <c r="I259" s="76" t="s">
        <v>59</v>
      </c>
      <c r="J259" s="83" t="s">
        <v>22</v>
      </c>
      <c r="K259" s="107">
        <v>29018.32</v>
      </c>
      <c r="L259" s="77">
        <f>K259-25</f>
        <v>28993.32</v>
      </c>
      <c r="M259" s="84"/>
      <c r="N259" s="78">
        <v>46183.0</v>
      </c>
      <c r="O259" s="85">
        <v>0.9013888888888889</v>
      </c>
      <c r="P259" s="13"/>
    </row>
    <row r="260" ht="15.75" customHeight="1">
      <c r="A260" s="92"/>
      <c r="B260" s="92"/>
      <c r="C260" s="43"/>
      <c r="D260" s="82"/>
      <c r="E260" s="73">
        <v>10.0</v>
      </c>
      <c r="F260" s="73">
        <v>30.0</v>
      </c>
      <c r="G260" s="25">
        <f t="shared" si="34"/>
        <v>-0.977</v>
      </c>
      <c r="H260" s="106">
        <v>-293.1</v>
      </c>
      <c r="I260" s="76" t="s">
        <v>59</v>
      </c>
      <c r="J260" s="83" t="s">
        <v>60</v>
      </c>
      <c r="K260" s="89">
        <v>50353.09</v>
      </c>
      <c r="L260" s="77">
        <f>K260-30</f>
        <v>50323.09</v>
      </c>
      <c r="M260" s="84"/>
      <c r="N260" s="91">
        <v>46184.0</v>
      </c>
      <c r="O260" s="85">
        <v>0.9069444444444444</v>
      </c>
      <c r="P260" s="13"/>
    </row>
    <row r="261" ht="15.75" customHeight="1">
      <c r="C261" s="44">
        <f>SUM(G257:G263)</f>
        <v>-2.818533333</v>
      </c>
      <c r="D261" s="38"/>
      <c r="E261" s="13"/>
      <c r="F261" s="13"/>
      <c r="G261" s="25"/>
      <c r="H261" s="13"/>
      <c r="I261" s="13"/>
      <c r="J261" s="13"/>
      <c r="K261" s="13"/>
      <c r="L261" s="55"/>
      <c r="M261" s="13"/>
      <c r="N261" s="50"/>
      <c r="O261" s="46"/>
      <c r="P261" s="38"/>
    </row>
    <row r="262" ht="15.75" customHeight="1">
      <c r="D262" s="38"/>
      <c r="E262" s="38"/>
      <c r="F262" s="38"/>
      <c r="G262" s="38"/>
      <c r="H262" s="38"/>
      <c r="I262" s="38"/>
      <c r="J262" s="38"/>
      <c r="K262" s="38"/>
      <c r="L262" s="55"/>
      <c r="M262" s="38"/>
      <c r="N262" s="38"/>
      <c r="O262" s="38"/>
      <c r="P262" s="38"/>
    </row>
    <row r="263" ht="15.75" customHeight="1">
      <c r="D263" s="38"/>
      <c r="E263" s="38"/>
      <c r="F263" s="38"/>
      <c r="G263" s="38"/>
      <c r="H263" s="38"/>
      <c r="I263" s="38"/>
      <c r="J263" s="38"/>
      <c r="K263" s="38"/>
      <c r="L263" s="55"/>
      <c r="M263" s="38"/>
      <c r="N263" s="38"/>
      <c r="O263" s="38"/>
      <c r="P263" s="38"/>
    </row>
    <row r="264" ht="15.75" customHeight="1">
      <c r="D264" s="38"/>
      <c r="E264" s="38"/>
      <c r="F264" s="38"/>
      <c r="G264" s="38"/>
      <c r="H264" s="38"/>
      <c r="I264" s="38"/>
      <c r="J264" s="38"/>
      <c r="K264" s="38"/>
      <c r="L264" s="55"/>
      <c r="M264" s="38"/>
      <c r="N264" s="38"/>
      <c r="O264" s="38"/>
      <c r="P264" s="38"/>
    </row>
    <row r="265" ht="15.75" customHeight="1">
      <c r="D265" s="38"/>
      <c r="E265" s="38"/>
      <c r="F265" s="38"/>
      <c r="G265" s="38"/>
      <c r="H265" s="38"/>
      <c r="I265" s="38"/>
      <c r="J265" s="38"/>
      <c r="K265" s="38"/>
      <c r="L265" s="55"/>
      <c r="M265" s="38"/>
      <c r="N265" s="38"/>
      <c r="O265" s="38"/>
      <c r="P265" s="38"/>
    </row>
    <row r="266" ht="15.75" customHeight="1">
      <c r="D266" s="38"/>
      <c r="E266" s="38"/>
      <c r="F266" s="38"/>
      <c r="G266" s="38"/>
      <c r="H266" s="38"/>
      <c r="I266" s="38"/>
      <c r="J266" s="38"/>
      <c r="K266" s="38"/>
      <c r="L266" s="55"/>
      <c r="M266" s="38"/>
      <c r="N266" s="38"/>
      <c r="O266" s="38"/>
      <c r="P266" s="38"/>
    </row>
    <row r="267" ht="15.75" customHeight="1">
      <c r="A267" s="71" t="s">
        <v>55</v>
      </c>
      <c r="B267" s="22"/>
      <c r="C267" s="23">
        <f>SUM(H267:H273)</f>
        <v>41.4</v>
      </c>
      <c r="D267" s="72"/>
      <c r="E267" s="84">
        <v>12.0</v>
      </c>
      <c r="F267" s="73">
        <v>25.0</v>
      </c>
      <c r="G267" s="25">
        <f>H267 / ( ABS(L267-K267) * E267)</f>
        <v>0.138</v>
      </c>
      <c r="H267" s="106">
        <v>41.4</v>
      </c>
      <c r="I267" s="13" t="s">
        <v>59</v>
      </c>
      <c r="J267" s="13" t="s">
        <v>22</v>
      </c>
      <c r="K267" s="45">
        <v>30406.55</v>
      </c>
      <c r="L267" s="45">
        <f>K267-25</f>
        <v>30381.55</v>
      </c>
      <c r="M267" s="13">
        <v>30410.0</v>
      </c>
      <c r="N267" s="50">
        <v>46188.0</v>
      </c>
      <c r="O267" s="46">
        <v>0.8965277777777778</v>
      </c>
      <c r="P267" s="13"/>
    </row>
    <row r="268" ht="15.75" customHeight="1">
      <c r="A268" s="80" t="s">
        <v>73</v>
      </c>
      <c r="B268" s="81">
        <v>150.0</v>
      </c>
      <c r="C268" s="37"/>
      <c r="D268" s="82"/>
      <c r="E268" s="73"/>
      <c r="F268" s="73"/>
      <c r="G268" s="25"/>
      <c r="H268" s="106"/>
      <c r="I268" s="76"/>
      <c r="J268" s="83"/>
      <c r="K268" s="107"/>
      <c r="L268" s="77"/>
      <c r="M268" s="84"/>
      <c r="N268" s="78"/>
      <c r="O268" s="85"/>
      <c r="P268" s="13"/>
    </row>
    <row r="269" ht="15.75" customHeight="1">
      <c r="A269" s="80" t="s">
        <v>112</v>
      </c>
      <c r="B269" s="86">
        <f>C267-B268</f>
        <v>-108.6</v>
      </c>
      <c r="C269" s="37"/>
      <c r="D269" s="82"/>
      <c r="E269" s="73"/>
      <c r="F269" s="73"/>
      <c r="G269" s="25"/>
      <c r="H269" s="106"/>
      <c r="I269" s="76"/>
      <c r="J269" s="83"/>
      <c r="K269" s="107"/>
      <c r="L269" s="77"/>
      <c r="M269" s="84"/>
      <c r="N269" s="78"/>
      <c r="O269" s="85"/>
      <c r="P269" s="13"/>
    </row>
    <row r="270" ht="15.75" customHeight="1">
      <c r="A270" s="92"/>
      <c r="B270" s="92"/>
      <c r="C270" s="43"/>
      <c r="D270" s="82"/>
      <c r="E270" s="73"/>
      <c r="F270" s="73"/>
      <c r="G270" s="25"/>
      <c r="H270" s="106"/>
      <c r="I270" s="76"/>
      <c r="J270" s="83"/>
      <c r="K270" s="89"/>
      <c r="L270" s="77"/>
      <c r="M270" s="84"/>
      <c r="N270" s="91"/>
      <c r="O270" s="85"/>
      <c r="P270" s="13"/>
    </row>
    <row r="271" ht="15.75" customHeight="1">
      <c r="C271" s="44">
        <f>SUM(G267:G273)</f>
        <v>0.138</v>
      </c>
      <c r="D271" s="38"/>
      <c r="E271" s="13"/>
      <c r="F271" s="13"/>
      <c r="G271" s="25"/>
      <c r="H271" s="13"/>
      <c r="I271" s="13"/>
      <c r="J271" s="13"/>
      <c r="K271" s="13"/>
      <c r="L271" s="55"/>
      <c r="M271" s="13"/>
      <c r="N271" s="50"/>
      <c r="O271" s="46"/>
      <c r="P271" s="38"/>
    </row>
    <row r="272" ht="15.75" customHeight="1">
      <c r="D272" s="38"/>
      <c r="E272" s="38"/>
      <c r="F272" s="38"/>
      <c r="G272" s="38"/>
      <c r="H272" s="38"/>
      <c r="I272" s="38"/>
      <c r="J272" s="38"/>
      <c r="K272" s="38"/>
      <c r="L272" s="55"/>
      <c r="M272" s="38"/>
      <c r="N272" s="38"/>
      <c r="O272" s="38"/>
      <c r="P272" s="38"/>
    </row>
    <row r="273" ht="15.75" customHeight="1">
      <c r="A273" s="68"/>
      <c r="B273" s="68"/>
      <c r="C273" s="68"/>
      <c r="D273" s="69"/>
      <c r="E273" s="69"/>
      <c r="F273" s="69"/>
      <c r="G273" s="69"/>
      <c r="H273" s="69"/>
      <c r="I273" s="69"/>
      <c r="J273" s="69"/>
      <c r="K273" s="69"/>
      <c r="L273" s="70"/>
      <c r="M273" s="69"/>
      <c r="N273" s="69"/>
      <c r="O273" s="69"/>
      <c r="P273" s="69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</row>
    <row r="274" ht="15.75" customHeight="1">
      <c r="D274" s="38"/>
      <c r="E274" s="38"/>
      <c r="F274" s="38"/>
      <c r="G274" s="38"/>
      <c r="H274" s="38"/>
      <c r="I274" s="38"/>
      <c r="J274" s="38"/>
      <c r="K274" s="38"/>
      <c r="L274" s="55"/>
      <c r="M274" s="38"/>
      <c r="N274" s="38"/>
      <c r="O274" s="38"/>
      <c r="P274" s="38"/>
    </row>
    <row r="275" ht="15.75" customHeight="1">
      <c r="D275" s="38"/>
      <c r="E275" s="38"/>
      <c r="F275" s="38"/>
      <c r="G275" s="38"/>
      <c r="H275" s="38"/>
      <c r="I275" s="38"/>
      <c r="J275" s="38"/>
      <c r="K275" s="38"/>
      <c r="L275" s="55"/>
      <c r="M275" s="38"/>
      <c r="N275" s="38"/>
      <c r="O275" s="38"/>
      <c r="P275" s="38"/>
    </row>
    <row r="276" ht="15.75" customHeight="1">
      <c r="A276" s="71" t="s">
        <v>55</v>
      </c>
      <c r="B276" s="22"/>
      <c r="C276" s="23">
        <f>SUM(H276:H282)</f>
        <v>-17.1</v>
      </c>
      <c r="D276" s="72"/>
      <c r="E276" s="84">
        <v>10.0</v>
      </c>
      <c r="F276" s="73">
        <v>30.0</v>
      </c>
      <c r="G276" s="25">
        <f t="shared" ref="G276:G278" si="35">H276 / ( ABS(L276-K276) * E276)</f>
        <v>3.489666667</v>
      </c>
      <c r="H276" s="106">
        <v>1046.9</v>
      </c>
      <c r="I276" s="13" t="s">
        <v>59</v>
      </c>
      <c r="J276" s="13" t="s">
        <v>60</v>
      </c>
      <c r="K276" s="45">
        <v>51871.66</v>
      </c>
      <c r="L276" s="45">
        <f>K276-30</f>
        <v>51841.66</v>
      </c>
      <c r="M276" s="13">
        <v>30410.0</v>
      </c>
      <c r="N276" s="50">
        <v>46195.0</v>
      </c>
      <c r="O276" s="46">
        <v>0.8958333333333334</v>
      </c>
      <c r="P276" s="13"/>
    </row>
    <row r="277" ht="15.75" customHeight="1">
      <c r="A277" s="80" t="s">
        <v>73</v>
      </c>
      <c r="B277" s="81">
        <v>150.0</v>
      </c>
      <c r="C277" s="37"/>
      <c r="D277" s="82"/>
      <c r="E277" s="73">
        <v>33.0</v>
      </c>
      <c r="F277" s="25">
        <v>30.0</v>
      </c>
      <c r="G277" s="25">
        <f t="shared" si="35"/>
        <v>-1.074747475</v>
      </c>
      <c r="H277" s="106">
        <v>-1064.0</v>
      </c>
      <c r="I277" s="76" t="s">
        <v>59</v>
      </c>
      <c r="J277" s="83" t="s">
        <v>20</v>
      </c>
      <c r="K277" s="107">
        <v>51359.42</v>
      </c>
      <c r="L277" s="77">
        <f>K277+30</f>
        <v>51389.42</v>
      </c>
      <c r="M277" s="84"/>
      <c r="N277" s="78">
        <v>46196.0</v>
      </c>
      <c r="O277" s="85">
        <v>0.8958333333333334</v>
      </c>
      <c r="P277" s="13" t="s">
        <v>485</v>
      </c>
    </row>
    <row r="278" ht="15.75" customHeight="1">
      <c r="A278" s="80" t="s">
        <v>112</v>
      </c>
      <c r="B278" s="86">
        <f>C276-B277</f>
        <v>-167.1</v>
      </c>
      <c r="C278" s="37"/>
      <c r="D278" s="82"/>
      <c r="E278" s="73">
        <v>40.0</v>
      </c>
      <c r="F278" s="73">
        <v>25.0</v>
      </c>
      <c r="G278" s="25">
        <f t="shared" si="35"/>
        <v>0</v>
      </c>
      <c r="H278" s="106">
        <v>0.0</v>
      </c>
      <c r="I278" s="76" t="s">
        <v>59</v>
      </c>
      <c r="J278" s="83" t="s">
        <v>486</v>
      </c>
      <c r="K278" s="107">
        <v>29774.6</v>
      </c>
      <c r="L278" s="77">
        <f>K278+25</f>
        <v>29799.6</v>
      </c>
      <c r="M278" s="84"/>
      <c r="N278" s="78">
        <v>46198.0</v>
      </c>
      <c r="O278" s="85">
        <v>0.8965277777777778</v>
      </c>
      <c r="P278" s="13"/>
    </row>
    <row r="279" ht="15.75" customHeight="1">
      <c r="A279" s="92"/>
      <c r="B279" s="92"/>
      <c r="C279" s="43"/>
      <c r="D279" s="82"/>
      <c r="E279" s="73"/>
      <c r="F279" s="73"/>
      <c r="G279" s="25"/>
      <c r="H279" s="106"/>
      <c r="I279" s="76"/>
      <c r="J279" s="83"/>
      <c r="K279" s="89"/>
      <c r="L279" s="77"/>
      <c r="M279" s="84"/>
      <c r="N279" s="91"/>
      <c r="O279" s="85"/>
      <c r="P279" s="13"/>
    </row>
    <row r="280" ht="15.75" customHeight="1">
      <c r="C280" s="44">
        <f>SUM(G276:G282)</f>
        <v>2.414919192</v>
      </c>
      <c r="D280" s="38"/>
      <c r="E280" s="13"/>
      <c r="F280" s="13"/>
      <c r="G280" s="25"/>
      <c r="H280" s="13"/>
      <c r="I280" s="13"/>
      <c r="J280" s="13"/>
      <c r="K280" s="13"/>
      <c r="L280" s="55"/>
      <c r="M280" s="13"/>
      <c r="N280" s="50"/>
      <c r="O280" s="46"/>
      <c r="P280" s="38"/>
    </row>
    <row r="281" ht="15.75" customHeight="1">
      <c r="D281" s="38"/>
      <c r="E281" s="38"/>
      <c r="F281" s="38"/>
      <c r="G281" s="38"/>
      <c r="H281" s="38"/>
      <c r="I281" s="38"/>
      <c r="J281" s="38"/>
      <c r="K281" s="38"/>
      <c r="L281" s="55"/>
      <c r="M281" s="38"/>
      <c r="N281" s="38"/>
      <c r="O281" s="38"/>
      <c r="P281" s="38"/>
    </row>
    <row r="282" ht="15.75" customHeight="1">
      <c r="D282" s="38"/>
      <c r="E282" s="38"/>
      <c r="F282" s="38"/>
      <c r="G282" s="38"/>
      <c r="H282" s="38"/>
      <c r="I282" s="38"/>
      <c r="J282" s="38"/>
      <c r="K282" s="38"/>
      <c r="L282" s="55"/>
      <c r="M282" s="38"/>
      <c r="N282" s="38"/>
      <c r="O282" s="38"/>
      <c r="P282" s="38"/>
    </row>
    <row r="283" ht="15.75" customHeight="1">
      <c r="D283" s="38"/>
      <c r="E283" s="38"/>
      <c r="F283" s="38"/>
      <c r="G283" s="38"/>
      <c r="H283" s="38"/>
      <c r="I283" s="38"/>
      <c r="J283" s="38"/>
      <c r="K283" s="38"/>
      <c r="L283" s="55"/>
      <c r="M283" s="38"/>
      <c r="N283" s="38"/>
      <c r="O283" s="38"/>
      <c r="P283" s="38"/>
    </row>
    <row r="284" ht="15.75" customHeight="1">
      <c r="D284" s="38"/>
      <c r="E284" s="38"/>
      <c r="F284" s="38"/>
      <c r="G284" s="38"/>
      <c r="H284" s="38"/>
      <c r="I284" s="38"/>
      <c r="J284" s="38"/>
      <c r="K284" s="38"/>
      <c r="L284" s="55"/>
      <c r="M284" s="38"/>
      <c r="N284" s="38"/>
      <c r="O284" s="38"/>
      <c r="P284" s="38"/>
    </row>
    <row r="285" ht="15.75" customHeight="1">
      <c r="A285" s="71" t="s">
        <v>55</v>
      </c>
      <c r="B285" s="22"/>
      <c r="C285" s="23">
        <f>SUM(H285:H291)</f>
        <v>-2946.24</v>
      </c>
      <c r="D285" s="72"/>
      <c r="E285" s="84">
        <v>33.0</v>
      </c>
      <c r="F285" s="73">
        <v>30.0</v>
      </c>
      <c r="G285" s="25">
        <f t="shared" ref="G285:G288" si="36">H285 / ( ABS(L285-K285) * E285)</f>
        <v>-1.142</v>
      </c>
      <c r="H285" s="106">
        <v>-1130.58</v>
      </c>
      <c r="I285" s="13" t="s">
        <v>59</v>
      </c>
      <c r="J285" s="13" t="s">
        <v>20</v>
      </c>
      <c r="K285" s="45">
        <v>52176.78</v>
      </c>
      <c r="L285" s="45">
        <f>K285-30</f>
        <v>52146.78</v>
      </c>
      <c r="M285" s="13"/>
      <c r="N285" s="50">
        <v>46202.0</v>
      </c>
      <c r="O285" s="46">
        <v>0.8986111111111111</v>
      </c>
      <c r="P285" s="13"/>
    </row>
    <row r="286" ht="15.75" customHeight="1">
      <c r="A286" s="80" t="s">
        <v>73</v>
      </c>
      <c r="B286" s="81">
        <v>150.0</v>
      </c>
      <c r="C286" s="37"/>
      <c r="D286" s="82"/>
      <c r="E286" s="73">
        <v>40.0</v>
      </c>
      <c r="F286" s="25">
        <v>25.0</v>
      </c>
      <c r="G286" s="25">
        <f t="shared" si="36"/>
        <v>0</v>
      </c>
      <c r="H286" s="106">
        <v>0.0</v>
      </c>
      <c r="I286" s="76" t="s">
        <v>59</v>
      </c>
      <c r="J286" s="83" t="s">
        <v>486</v>
      </c>
      <c r="K286" s="107">
        <v>29946.7</v>
      </c>
      <c r="L286" s="77">
        <f>K286-25</f>
        <v>29921.7</v>
      </c>
      <c r="M286" s="84"/>
      <c r="N286" s="78">
        <v>46203.0</v>
      </c>
      <c r="O286" s="85">
        <v>0.9</v>
      </c>
      <c r="P286" s="13"/>
    </row>
    <row r="287" ht="15.75" customHeight="1">
      <c r="A287" s="80" t="s">
        <v>112</v>
      </c>
      <c r="B287" s="86">
        <f>C285-B286</f>
        <v>-3096.24</v>
      </c>
      <c r="C287" s="37"/>
      <c r="D287" s="82"/>
      <c r="E287" s="84">
        <v>33.0</v>
      </c>
      <c r="F287" s="73">
        <v>30.0</v>
      </c>
      <c r="G287" s="25">
        <f t="shared" si="36"/>
        <v>-1.125333333</v>
      </c>
      <c r="H287" s="106">
        <v>-1114.08</v>
      </c>
      <c r="I287" s="76" t="s">
        <v>59</v>
      </c>
      <c r="J287" s="83" t="s">
        <v>20</v>
      </c>
      <c r="K287" s="107">
        <v>52281.98</v>
      </c>
      <c r="L287" s="77">
        <f t="shared" ref="L287:L288" si="37">K287-30</f>
        <v>52251.98</v>
      </c>
      <c r="M287" s="84"/>
      <c r="N287" s="78">
        <v>46204.0</v>
      </c>
      <c r="O287" s="85">
        <v>0.9125</v>
      </c>
      <c r="P287" s="13"/>
    </row>
    <row r="288" ht="15.75" customHeight="1">
      <c r="A288" s="92"/>
      <c r="B288" s="92"/>
      <c r="C288" s="43"/>
      <c r="D288" s="82"/>
      <c r="E288" s="84">
        <v>33.0</v>
      </c>
      <c r="F288" s="73">
        <v>30.0</v>
      </c>
      <c r="G288" s="25">
        <f t="shared" si="36"/>
        <v>-0.7086666667</v>
      </c>
      <c r="H288" s="106">
        <v>-701.58</v>
      </c>
      <c r="I288" s="76" t="s">
        <v>59</v>
      </c>
      <c r="J288" s="83" t="s">
        <v>20</v>
      </c>
      <c r="K288" s="89">
        <v>52724.38</v>
      </c>
      <c r="L288" s="77">
        <f t="shared" si="37"/>
        <v>52694.38</v>
      </c>
      <c r="M288" s="84"/>
      <c r="N288" s="91">
        <v>46205.0</v>
      </c>
      <c r="O288" s="85">
        <v>0.9076388888888889</v>
      </c>
      <c r="P288" s="13" t="s">
        <v>487</v>
      </c>
    </row>
    <row r="289" ht="15.75" customHeight="1">
      <c r="C289" s="44">
        <f>SUM(G285:G291)</f>
        <v>-2.976</v>
      </c>
      <c r="D289" s="38"/>
      <c r="E289" s="13"/>
      <c r="F289" s="13"/>
      <c r="G289" s="25"/>
      <c r="H289" s="13"/>
      <c r="I289" s="13"/>
      <c r="J289" s="13"/>
      <c r="K289" s="13"/>
      <c r="L289" s="55"/>
      <c r="M289" s="13"/>
      <c r="N289" s="50"/>
      <c r="O289" s="46"/>
      <c r="P289" s="38"/>
    </row>
    <row r="290" ht="15.75" customHeight="1">
      <c r="D290" s="38"/>
      <c r="E290" s="38"/>
      <c r="F290" s="38"/>
      <c r="G290" s="38"/>
      <c r="H290" s="38"/>
      <c r="I290" s="38"/>
      <c r="J290" s="38"/>
      <c r="K290" s="38"/>
      <c r="L290" s="55"/>
      <c r="M290" s="38"/>
      <c r="N290" s="38"/>
      <c r="O290" s="38"/>
      <c r="P290" s="38"/>
    </row>
    <row r="291" ht="15.75" customHeight="1">
      <c r="D291" s="38"/>
      <c r="E291" s="38"/>
      <c r="F291" s="38"/>
      <c r="G291" s="38"/>
      <c r="H291" s="38"/>
      <c r="I291" s="38"/>
      <c r="J291" s="38"/>
      <c r="K291" s="38"/>
      <c r="L291" s="55"/>
      <c r="M291" s="38"/>
      <c r="N291" s="38"/>
      <c r="O291" s="38"/>
      <c r="P291" s="38"/>
    </row>
    <row r="292" ht="15.75" customHeight="1">
      <c r="D292" s="38"/>
      <c r="E292" s="38"/>
      <c r="F292" s="38"/>
      <c r="G292" s="38"/>
      <c r="H292" s="38"/>
      <c r="I292" s="38"/>
      <c r="J292" s="38"/>
      <c r="K292" s="38"/>
      <c r="L292" s="55"/>
      <c r="M292" s="38"/>
      <c r="N292" s="38"/>
      <c r="O292" s="38"/>
      <c r="P292" s="38"/>
    </row>
    <row r="293" ht="15.75" customHeight="1">
      <c r="D293" s="38"/>
      <c r="E293" s="38"/>
      <c r="F293" s="38"/>
      <c r="G293" s="38"/>
      <c r="H293" s="38"/>
      <c r="I293" s="38"/>
      <c r="J293" s="38"/>
      <c r="K293" s="38"/>
      <c r="L293" s="55"/>
      <c r="M293" s="38"/>
      <c r="N293" s="38"/>
      <c r="O293" s="38"/>
      <c r="P293" s="38"/>
    </row>
    <row r="294" ht="15.75" customHeight="1">
      <c r="A294" s="71" t="s">
        <v>55</v>
      </c>
      <c r="B294" s="22"/>
      <c r="C294" s="23">
        <f>SUM(H294:H300)</f>
        <v>1344.84</v>
      </c>
      <c r="D294" s="72"/>
      <c r="E294" s="84">
        <v>33.0</v>
      </c>
      <c r="F294" s="73">
        <v>30.0</v>
      </c>
      <c r="G294" s="25">
        <f t="shared" ref="G294:G297" si="38">H294 / ( ABS(L294-K294) * E294)</f>
        <v>-1.275333333</v>
      </c>
      <c r="H294" s="106">
        <v>-1262.58</v>
      </c>
      <c r="I294" s="13" t="s">
        <v>59</v>
      </c>
      <c r="J294" s="13" t="s">
        <v>20</v>
      </c>
      <c r="K294" s="45">
        <v>53007.58</v>
      </c>
      <c r="L294" s="45">
        <f>K294-30</f>
        <v>52977.58</v>
      </c>
      <c r="M294" s="13"/>
      <c r="N294" s="50">
        <v>46209.0</v>
      </c>
      <c r="O294" s="46">
        <v>0.8958333333333334</v>
      </c>
      <c r="P294" s="13"/>
    </row>
    <row r="295" ht="15.75" customHeight="1">
      <c r="A295" s="80" t="s">
        <v>73</v>
      </c>
      <c r="B295" s="81">
        <v>150.0</v>
      </c>
      <c r="C295" s="37"/>
      <c r="D295" s="82"/>
      <c r="E295" s="84">
        <v>33.0</v>
      </c>
      <c r="F295" s="73">
        <v>30.0</v>
      </c>
      <c r="G295" s="25">
        <f t="shared" si="38"/>
        <v>1.591333333</v>
      </c>
      <c r="H295" s="106">
        <v>1575.42</v>
      </c>
      <c r="I295" s="76" t="s">
        <v>59</v>
      </c>
      <c r="J295" s="83" t="s">
        <v>20</v>
      </c>
      <c r="K295" s="107">
        <v>53139.62</v>
      </c>
      <c r="L295" s="77">
        <f t="shared" ref="L295:L296" si="39">K295+30</f>
        <v>53169.62</v>
      </c>
      <c r="M295" s="84">
        <v>53091.88</v>
      </c>
      <c r="N295" s="78">
        <v>46210.0</v>
      </c>
      <c r="O295" s="85">
        <v>0.9020833333333333</v>
      </c>
      <c r="P295" s="13"/>
    </row>
    <row r="296" ht="15.75" customHeight="1">
      <c r="A296" s="80" t="s">
        <v>112</v>
      </c>
      <c r="B296" s="86">
        <f>C294-B295</f>
        <v>1194.84</v>
      </c>
      <c r="C296" s="37"/>
      <c r="D296" s="82"/>
      <c r="E296" s="84">
        <v>33.0</v>
      </c>
      <c r="F296" s="73">
        <v>30.0</v>
      </c>
      <c r="G296" s="25">
        <f t="shared" si="38"/>
        <v>-0.2585858586</v>
      </c>
      <c r="H296" s="106">
        <v>-256.0</v>
      </c>
      <c r="I296" s="76" t="s">
        <v>59</v>
      </c>
      <c r="J296" s="83" t="s">
        <v>20</v>
      </c>
      <c r="K296" s="107">
        <v>52347.62</v>
      </c>
      <c r="L296" s="77">
        <f t="shared" si="39"/>
        <v>52377.62</v>
      </c>
      <c r="M296" s="84"/>
      <c r="N296" s="78">
        <v>46211.0</v>
      </c>
      <c r="O296" s="85">
        <v>0.8958333333333334</v>
      </c>
      <c r="P296" s="13"/>
    </row>
    <row r="297" ht="15.75" customHeight="1">
      <c r="A297" s="92"/>
      <c r="B297" s="92"/>
      <c r="C297" s="43"/>
      <c r="D297" s="82"/>
      <c r="E297" s="84">
        <v>40.0</v>
      </c>
      <c r="F297" s="73">
        <v>25.0</v>
      </c>
      <c r="G297" s="25">
        <f t="shared" si="38"/>
        <v>1.288</v>
      </c>
      <c r="H297" s="106">
        <v>1288.0</v>
      </c>
      <c r="I297" s="76" t="s">
        <v>59</v>
      </c>
      <c r="J297" s="83" t="s">
        <v>486</v>
      </c>
      <c r="K297" s="89">
        <v>29592.2</v>
      </c>
      <c r="L297" s="77">
        <f>K297-25</f>
        <v>29567.2</v>
      </c>
      <c r="M297" s="84">
        <v>29624.4</v>
      </c>
      <c r="N297" s="91">
        <v>46212.0</v>
      </c>
      <c r="O297" s="85">
        <v>0.8993055555555556</v>
      </c>
      <c r="P297" s="13"/>
    </row>
    <row r="298" ht="15.75" customHeight="1">
      <c r="C298" s="44">
        <f>SUM(G294:G300)</f>
        <v>1.345414141</v>
      </c>
      <c r="D298" s="38"/>
      <c r="E298" s="13"/>
      <c r="F298" s="13"/>
      <c r="G298" s="25"/>
      <c r="H298" s="13"/>
      <c r="I298" s="13"/>
      <c r="J298" s="13"/>
      <c r="K298" s="13"/>
      <c r="L298" s="55"/>
      <c r="M298" s="13"/>
      <c r="N298" s="50"/>
      <c r="O298" s="46"/>
      <c r="P298" s="38"/>
    </row>
    <row r="299" ht="15.75" customHeight="1">
      <c r="D299" s="38"/>
      <c r="E299" s="38"/>
      <c r="F299" s="38"/>
      <c r="G299" s="38"/>
      <c r="H299" s="38"/>
      <c r="I299" s="38"/>
      <c r="J299" s="38"/>
      <c r="K299" s="38"/>
      <c r="L299" s="55"/>
      <c r="M299" s="38"/>
      <c r="N299" s="38"/>
      <c r="O299" s="38"/>
      <c r="P299" s="38"/>
    </row>
    <row r="300" ht="15.75" customHeight="1">
      <c r="D300" s="38"/>
      <c r="E300" s="38"/>
      <c r="F300" s="38"/>
      <c r="G300" s="38"/>
      <c r="H300" s="38"/>
      <c r="I300" s="38"/>
      <c r="J300" s="38"/>
      <c r="K300" s="38"/>
      <c r="L300" s="55"/>
      <c r="M300" s="38"/>
      <c r="N300" s="38"/>
      <c r="O300" s="38"/>
      <c r="P300" s="38"/>
    </row>
    <row r="301" ht="15.75" customHeight="1">
      <c r="D301" s="38"/>
      <c r="E301" s="38"/>
      <c r="F301" s="38"/>
      <c r="G301" s="38"/>
      <c r="H301" s="38"/>
      <c r="I301" s="38"/>
      <c r="J301" s="38"/>
      <c r="K301" s="38"/>
      <c r="L301" s="55"/>
      <c r="M301" s="38"/>
      <c r="N301" s="38"/>
      <c r="O301" s="38"/>
      <c r="P301" s="38"/>
    </row>
    <row r="302" ht="15.75" customHeight="1">
      <c r="D302" s="38"/>
      <c r="E302" s="38"/>
      <c r="F302" s="38"/>
      <c r="G302" s="38"/>
      <c r="H302" s="38"/>
      <c r="I302" s="38"/>
      <c r="J302" s="38"/>
      <c r="K302" s="38"/>
      <c r="L302" s="55"/>
      <c r="M302" s="38"/>
      <c r="N302" s="38"/>
      <c r="O302" s="38"/>
      <c r="P302" s="38"/>
    </row>
    <row r="303" ht="15.75" customHeight="1">
      <c r="D303" s="38"/>
      <c r="E303" s="38"/>
      <c r="F303" s="38"/>
      <c r="G303" s="38"/>
      <c r="H303" s="38"/>
      <c r="I303" s="38"/>
      <c r="J303" s="38"/>
      <c r="K303" s="38"/>
      <c r="L303" s="55"/>
      <c r="M303" s="38"/>
      <c r="N303" s="38"/>
      <c r="O303" s="38"/>
      <c r="P303" s="38"/>
    </row>
    <row r="304" ht="15.75" customHeight="1">
      <c r="A304" s="71" t="s">
        <v>55</v>
      </c>
      <c r="B304" s="22"/>
      <c r="C304" s="23">
        <f>SUM(H304:H310)</f>
        <v>-1125.58</v>
      </c>
      <c r="D304" s="72"/>
      <c r="E304" s="84">
        <v>40.0</v>
      </c>
      <c r="F304" s="73">
        <v>25.0</v>
      </c>
      <c r="G304" s="25">
        <f t="shared" ref="G304:G307" si="40">H304 / ( ABS(L304-K304) * E304)</f>
        <v>-1.08</v>
      </c>
      <c r="H304" s="106">
        <v>-1080.0</v>
      </c>
      <c r="I304" s="13" t="s">
        <v>59</v>
      </c>
      <c r="J304" s="13" t="s">
        <v>486</v>
      </c>
      <c r="K304" s="45">
        <v>29443.4</v>
      </c>
      <c r="L304" s="45">
        <f>K304+25</f>
        <v>29468.4</v>
      </c>
      <c r="M304" s="13"/>
      <c r="N304" s="50">
        <v>46216.0</v>
      </c>
      <c r="O304" s="46">
        <v>0.8958333333333334</v>
      </c>
      <c r="P304" s="13"/>
    </row>
    <row r="305" ht="15.75" customHeight="1">
      <c r="A305" s="80" t="s">
        <v>73</v>
      </c>
      <c r="B305" s="81">
        <v>150.0</v>
      </c>
      <c r="C305" s="37"/>
      <c r="D305" s="82"/>
      <c r="E305" s="84">
        <v>33.0</v>
      </c>
      <c r="F305" s="73">
        <v>30.0</v>
      </c>
      <c r="G305" s="25">
        <f t="shared" si="40"/>
        <v>-1.141414141</v>
      </c>
      <c r="H305" s="106">
        <v>-1130.0</v>
      </c>
      <c r="I305" s="76" t="s">
        <v>59</v>
      </c>
      <c r="J305" s="83" t="s">
        <v>20</v>
      </c>
      <c r="K305" s="107">
        <v>52335.02</v>
      </c>
      <c r="L305" s="77">
        <f>K305+30</f>
        <v>52365.02</v>
      </c>
      <c r="M305" s="84"/>
      <c r="N305" s="78">
        <v>46217.0</v>
      </c>
      <c r="O305" s="85">
        <v>0.8979166666666667</v>
      </c>
      <c r="P305" s="13"/>
    </row>
    <row r="306" ht="15.75" customHeight="1">
      <c r="A306" s="80" t="s">
        <v>112</v>
      </c>
      <c r="B306" s="86">
        <f>C304-B305</f>
        <v>-1275.58</v>
      </c>
      <c r="C306" s="37"/>
      <c r="D306" s="82"/>
      <c r="E306" s="84">
        <v>40.0</v>
      </c>
      <c r="F306" s="73">
        <v>25.0</v>
      </c>
      <c r="G306" s="25">
        <f t="shared" si="40"/>
        <v>-1.052</v>
      </c>
      <c r="H306" s="25">
        <v>-1052.0</v>
      </c>
      <c r="I306" s="76" t="s">
        <v>59</v>
      </c>
      <c r="J306" s="83" t="s">
        <v>486</v>
      </c>
      <c r="K306" s="107">
        <v>29724.5</v>
      </c>
      <c r="L306" s="77">
        <f>K306+25</f>
        <v>29749.5</v>
      </c>
      <c r="M306" s="84"/>
      <c r="N306" s="78">
        <v>46218.0</v>
      </c>
      <c r="O306" s="85">
        <v>0.8965277777777778</v>
      </c>
      <c r="P306" s="13" t="s">
        <v>488</v>
      </c>
    </row>
    <row r="307" ht="15.75" customHeight="1">
      <c r="A307" s="92"/>
      <c r="B307" s="92"/>
      <c r="C307" s="43"/>
      <c r="D307" s="82"/>
      <c r="E307" s="84">
        <v>33.0</v>
      </c>
      <c r="F307" s="73">
        <v>30.0</v>
      </c>
      <c r="G307" s="25">
        <f t="shared" si="40"/>
        <v>2.158</v>
      </c>
      <c r="H307" s="106">
        <v>2136.42</v>
      </c>
      <c r="I307" s="76" t="s">
        <v>59</v>
      </c>
      <c r="J307" s="83" t="s">
        <v>20</v>
      </c>
      <c r="K307" s="89">
        <v>52709.88</v>
      </c>
      <c r="L307" s="77">
        <f>K307-30</f>
        <v>52679.88</v>
      </c>
      <c r="M307" s="84">
        <v>52774.62</v>
      </c>
      <c r="N307" s="91">
        <v>46218.0</v>
      </c>
      <c r="O307" s="85">
        <v>0.9</v>
      </c>
      <c r="P307" s="13"/>
    </row>
    <row r="308" ht="15.75" customHeight="1">
      <c r="C308" s="44">
        <f>SUM(G304:G310)</f>
        <v>-1.115414141</v>
      </c>
      <c r="D308" s="38"/>
      <c r="E308" s="13"/>
      <c r="F308" s="13"/>
      <c r="G308" s="25"/>
      <c r="H308" s="13"/>
      <c r="I308" s="13"/>
      <c r="J308" s="13"/>
      <c r="K308" s="13"/>
      <c r="L308" s="55"/>
      <c r="M308" s="13"/>
      <c r="N308" s="50"/>
      <c r="O308" s="46"/>
      <c r="P308" s="38"/>
    </row>
    <row r="309" ht="15.75" customHeight="1">
      <c r="D309" s="38"/>
      <c r="E309" s="38"/>
      <c r="F309" s="38"/>
      <c r="G309" s="38"/>
      <c r="H309" s="38"/>
      <c r="I309" s="38"/>
      <c r="J309" s="38"/>
      <c r="K309" s="38"/>
      <c r="L309" s="55"/>
      <c r="M309" s="38"/>
      <c r="N309" s="38"/>
      <c r="O309" s="38"/>
      <c r="P309" s="38"/>
    </row>
    <row r="310" ht="15.75" customHeight="1">
      <c r="D310" s="38"/>
      <c r="E310" s="38"/>
      <c r="F310" s="38"/>
      <c r="G310" s="38"/>
      <c r="H310" s="38"/>
      <c r="I310" s="38"/>
      <c r="J310" s="38"/>
      <c r="K310" s="38"/>
      <c r="L310" s="55"/>
      <c r="M310" s="38"/>
      <c r="N310" s="38"/>
      <c r="O310" s="38"/>
      <c r="P310" s="38"/>
    </row>
    <row r="311" ht="15.75" customHeight="1">
      <c r="D311" s="38"/>
      <c r="E311" s="38"/>
      <c r="F311" s="38"/>
      <c r="G311" s="38"/>
      <c r="H311" s="38"/>
      <c r="I311" s="38"/>
      <c r="J311" s="38"/>
      <c r="K311" s="38"/>
      <c r="L311" s="55"/>
      <c r="M311" s="38"/>
      <c r="N311" s="38"/>
      <c r="O311" s="38"/>
      <c r="P311" s="38"/>
    </row>
    <row r="312" ht="15.75" customHeight="1">
      <c r="D312" s="38"/>
      <c r="E312" s="38"/>
      <c r="F312" s="38"/>
      <c r="G312" s="38"/>
      <c r="H312" s="38"/>
      <c r="I312" s="38"/>
      <c r="J312" s="38"/>
      <c r="K312" s="38"/>
      <c r="L312" s="55"/>
      <c r="M312" s="38"/>
      <c r="N312" s="38"/>
      <c r="O312" s="38"/>
      <c r="P312" s="38"/>
    </row>
    <row r="313" ht="15.75" customHeight="1">
      <c r="D313" s="38"/>
      <c r="E313" s="38"/>
      <c r="F313" s="38"/>
      <c r="G313" s="38"/>
      <c r="H313" s="38"/>
      <c r="I313" s="38"/>
      <c r="J313" s="38"/>
      <c r="K313" s="38"/>
      <c r="L313" s="55"/>
      <c r="M313" s="38"/>
      <c r="N313" s="38"/>
      <c r="O313" s="38"/>
      <c r="P313" s="38"/>
    </row>
    <row r="314" ht="15.75" customHeight="1">
      <c r="D314" s="38"/>
      <c r="E314" s="38"/>
      <c r="F314" s="38"/>
      <c r="G314" s="38"/>
      <c r="H314" s="38"/>
      <c r="I314" s="38"/>
      <c r="J314" s="38"/>
      <c r="K314" s="38"/>
      <c r="L314" s="55"/>
      <c r="M314" s="38"/>
      <c r="N314" s="38"/>
      <c r="O314" s="38"/>
      <c r="P314" s="38"/>
    </row>
    <row r="315" ht="15.75" customHeight="1">
      <c r="D315" s="38"/>
      <c r="E315" s="38"/>
      <c r="F315" s="38"/>
      <c r="G315" s="38"/>
      <c r="H315" s="38"/>
      <c r="I315" s="38"/>
      <c r="J315" s="38"/>
      <c r="K315" s="38"/>
      <c r="L315" s="55"/>
      <c r="M315" s="38"/>
      <c r="N315" s="38"/>
      <c r="O315" s="38"/>
      <c r="P315" s="38"/>
    </row>
    <row r="316" ht="15.75" customHeight="1">
      <c r="A316" s="71" t="s">
        <v>55</v>
      </c>
      <c r="B316" s="22"/>
      <c r="C316" s="23">
        <f>SUM(H316:H322)</f>
        <v>-1183.58</v>
      </c>
      <c r="D316" s="72"/>
      <c r="E316" s="84">
        <v>40.0</v>
      </c>
      <c r="F316" s="73">
        <v>25.0</v>
      </c>
      <c r="G316" s="25">
        <f t="shared" ref="G316:G320" si="41">H316 / ( ABS(L316-K316) * E316)</f>
        <v>-1.08</v>
      </c>
      <c r="H316" s="106">
        <v>-1080.0</v>
      </c>
      <c r="I316" s="13" t="s">
        <v>59</v>
      </c>
      <c r="J316" s="13" t="s">
        <v>486</v>
      </c>
      <c r="K316" s="45">
        <v>28900.5</v>
      </c>
      <c r="L316" s="45">
        <f>K316-25</f>
        <v>28875.5</v>
      </c>
      <c r="M316" s="13"/>
      <c r="N316" s="50">
        <v>46223.0</v>
      </c>
      <c r="O316" s="46">
        <v>0.8965277777777778</v>
      </c>
      <c r="P316" s="13" t="s">
        <v>489</v>
      </c>
    </row>
    <row r="317" ht="15.75" customHeight="1">
      <c r="A317" s="80" t="s">
        <v>73</v>
      </c>
      <c r="B317" s="81">
        <v>150.0</v>
      </c>
      <c r="C317" s="37"/>
      <c r="D317" s="82"/>
      <c r="E317" s="84">
        <v>33.0</v>
      </c>
      <c r="F317" s="73">
        <v>30.0</v>
      </c>
      <c r="G317" s="25">
        <f t="shared" si="41"/>
        <v>-1.175333333</v>
      </c>
      <c r="H317" s="106">
        <v>-1163.58</v>
      </c>
      <c r="I317" s="76" t="s">
        <v>59</v>
      </c>
      <c r="J317" s="83" t="s">
        <v>20</v>
      </c>
      <c r="K317" s="107">
        <v>52067.78</v>
      </c>
      <c r="L317" s="77">
        <f>K317-30</f>
        <v>52037.78</v>
      </c>
      <c r="M317" s="84"/>
      <c r="N317" s="78">
        <v>46224.0</v>
      </c>
      <c r="O317" s="85">
        <v>0.8958333333333334</v>
      </c>
      <c r="P317" s="13"/>
    </row>
    <row r="318" ht="15.75" customHeight="1">
      <c r="A318" s="80" t="s">
        <v>112</v>
      </c>
      <c r="B318" s="86">
        <f>C316-B317</f>
        <v>-1333.58</v>
      </c>
      <c r="C318" s="37"/>
      <c r="D318" s="82"/>
      <c r="E318" s="84">
        <v>40.0</v>
      </c>
      <c r="F318" s="73">
        <v>25.0</v>
      </c>
      <c r="G318" s="25">
        <f t="shared" si="41"/>
        <v>-1.092</v>
      </c>
      <c r="H318" s="25">
        <v>-1092.0</v>
      </c>
      <c r="I318" s="76" t="s">
        <v>59</v>
      </c>
      <c r="J318" s="83" t="s">
        <v>486</v>
      </c>
      <c r="K318" s="107">
        <v>28964.5</v>
      </c>
      <c r="L318" s="77">
        <f>K318+25</f>
        <v>28989.5</v>
      </c>
      <c r="M318" s="84"/>
      <c r="N318" s="78">
        <v>46224.0</v>
      </c>
      <c r="O318" s="85">
        <v>0.8986111111111111</v>
      </c>
      <c r="P318" s="13"/>
    </row>
    <row r="319" ht="15.75" customHeight="1">
      <c r="A319" s="92"/>
      <c r="B319" s="92"/>
      <c r="C319" s="43"/>
      <c r="D319" s="82"/>
      <c r="E319" s="84">
        <v>40.0</v>
      </c>
      <c r="F319" s="73">
        <v>25.0</v>
      </c>
      <c r="G319" s="25">
        <f t="shared" si="41"/>
        <v>1.612</v>
      </c>
      <c r="H319" s="106">
        <v>1612.0</v>
      </c>
      <c r="I319" s="76" t="s">
        <v>59</v>
      </c>
      <c r="J319" s="83" t="s">
        <v>486</v>
      </c>
      <c r="K319" s="106">
        <v>29007.7</v>
      </c>
      <c r="L319" s="77">
        <f t="shared" ref="L319:L320" si="42">K319-25</f>
        <v>28982.7</v>
      </c>
      <c r="M319" s="84">
        <v>29048.0</v>
      </c>
      <c r="N319" s="91">
        <v>46225.0</v>
      </c>
      <c r="O319" s="85">
        <v>0.9041666666666667</v>
      </c>
      <c r="P319" s="13"/>
    </row>
    <row r="320" ht="15.75" customHeight="1">
      <c r="C320" s="44">
        <f>SUM(G316:G322)</f>
        <v>-1.195333333</v>
      </c>
      <c r="D320" s="38"/>
      <c r="E320" s="84">
        <v>40.0</v>
      </c>
      <c r="F320" s="73">
        <v>25.0</v>
      </c>
      <c r="G320" s="25">
        <f t="shared" si="41"/>
        <v>0.54</v>
      </c>
      <c r="H320" s="13">
        <v>540.0</v>
      </c>
      <c r="I320" s="13" t="s">
        <v>59</v>
      </c>
      <c r="J320" s="13" t="s">
        <v>486</v>
      </c>
      <c r="K320" s="13">
        <v>28634.6</v>
      </c>
      <c r="L320" s="55">
        <f t="shared" si="42"/>
        <v>28609.6</v>
      </c>
      <c r="M320" s="13">
        <v>28648.1</v>
      </c>
      <c r="N320" s="50">
        <v>46226.0</v>
      </c>
      <c r="O320" s="46">
        <v>0.9006944444444445</v>
      </c>
      <c r="P320" s="38"/>
    </row>
    <row r="321" ht="15.75" customHeight="1">
      <c r="D321" s="38"/>
      <c r="E321" s="38"/>
      <c r="F321" s="38"/>
      <c r="G321" s="38"/>
      <c r="H321" s="38"/>
      <c r="I321" s="38"/>
      <c r="J321" s="38"/>
      <c r="K321" s="38"/>
      <c r="L321" s="55"/>
      <c r="M321" s="38"/>
      <c r="N321" s="38"/>
      <c r="O321" s="38"/>
      <c r="P321" s="38"/>
    </row>
    <row r="322" ht="15.75" customHeight="1">
      <c r="D322" s="38"/>
      <c r="E322" s="38"/>
      <c r="F322" s="38"/>
      <c r="G322" s="38"/>
      <c r="H322" s="38"/>
      <c r="I322" s="38"/>
      <c r="J322" s="38"/>
      <c r="K322" s="38"/>
      <c r="L322" s="55"/>
      <c r="M322" s="38"/>
      <c r="N322" s="38"/>
      <c r="O322" s="38"/>
      <c r="P322" s="38"/>
    </row>
    <row r="323" ht="15.75" customHeight="1">
      <c r="D323" s="38"/>
      <c r="E323" s="38"/>
      <c r="F323" s="38"/>
      <c r="G323" s="38"/>
      <c r="H323" s="38"/>
      <c r="I323" s="38"/>
      <c r="J323" s="38"/>
      <c r="K323" s="38"/>
      <c r="L323" s="55"/>
      <c r="M323" s="38"/>
      <c r="N323" s="38"/>
      <c r="O323" s="38"/>
      <c r="P323" s="38"/>
    </row>
    <row r="324" ht="15.75" customHeight="1">
      <c r="D324" s="38"/>
      <c r="E324" s="38"/>
      <c r="F324" s="38"/>
      <c r="G324" s="38"/>
      <c r="H324" s="38"/>
      <c r="I324" s="38"/>
      <c r="J324" s="38"/>
      <c r="K324" s="38"/>
      <c r="L324" s="55"/>
      <c r="M324" s="38"/>
      <c r="N324" s="38"/>
      <c r="O324" s="38"/>
      <c r="P324" s="38"/>
    </row>
    <row r="325" ht="15.75" customHeight="1">
      <c r="D325" s="38"/>
      <c r="E325" s="38"/>
      <c r="F325" s="38"/>
      <c r="G325" s="38"/>
      <c r="H325" s="38"/>
      <c r="I325" s="38"/>
      <c r="J325" s="38"/>
      <c r="K325" s="38"/>
      <c r="L325" s="55"/>
      <c r="M325" s="38"/>
      <c r="N325" s="38"/>
      <c r="O325" s="38"/>
      <c r="P325" s="38"/>
    </row>
    <row r="326" ht="15.75" customHeight="1">
      <c r="D326" s="38"/>
      <c r="E326" s="38"/>
      <c r="F326" s="38"/>
      <c r="G326" s="38"/>
      <c r="H326" s="38"/>
      <c r="I326" s="38"/>
      <c r="J326" s="38"/>
      <c r="K326" s="38"/>
      <c r="L326" s="55"/>
      <c r="M326" s="38"/>
      <c r="N326" s="38"/>
      <c r="O326" s="38"/>
      <c r="P326" s="38"/>
    </row>
    <row r="327" ht="15.75" customHeight="1">
      <c r="D327" s="38"/>
      <c r="E327" s="38"/>
      <c r="F327" s="38"/>
      <c r="G327" s="38"/>
      <c r="H327" s="38"/>
      <c r="I327" s="38"/>
      <c r="J327" s="38"/>
      <c r="K327" s="38"/>
      <c r="L327" s="55"/>
      <c r="M327" s="38"/>
      <c r="N327" s="38"/>
      <c r="O327" s="38"/>
      <c r="P327" s="38"/>
    </row>
    <row r="328" ht="15.75" customHeight="1">
      <c r="D328" s="38"/>
      <c r="E328" s="38"/>
      <c r="F328" s="38"/>
      <c r="G328" s="38"/>
      <c r="H328" s="38"/>
      <c r="I328" s="38"/>
      <c r="J328" s="38"/>
      <c r="K328" s="38"/>
      <c r="L328" s="55"/>
      <c r="M328" s="38"/>
      <c r="N328" s="38"/>
      <c r="O328" s="38"/>
      <c r="P328" s="38"/>
    </row>
    <row r="329" ht="15.75" customHeight="1">
      <c r="D329" s="38"/>
      <c r="E329" s="38"/>
      <c r="F329" s="38"/>
      <c r="G329" s="38"/>
      <c r="H329" s="38"/>
      <c r="I329" s="38"/>
      <c r="J329" s="38"/>
      <c r="K329" s="38"/>
      <c r="L329" s="55"/>
      <c r="M329" s="38"/>
      <c r="N329" s="38"/>
      <c r="O329" s="38"/>
      <c r="P329" s="38"/>
    </row>
    <row r="330" ht="15.75" customHeight="1">
      <c r="D330" s="38"/>
      <c r="E330" s="38"/>
      <c r="F330" s="38"/>
      <c r="G330" s="38"/>
      <c r="H330" s="38"/>
      <c r="I330" s="38"/>
      <c r="J330" s="38"/>
      <c r="K330" s="38"/>
      <c r="L330" s="55"/>
      <c r="M330" s="38"/>
      <c r="N330" s="38"/>
      <c r="O330" s="38"/>
      <c r="P330" s="38"/>
    </row>
    <row r="331" ht="15.75" customHeight="1">
      <c r="D331" s="38"/>
      <c r="E331" s="38"/>
      <c r="F331" s="38"/>
      <c r="G331" s="38"/>
      <c r="H331" s="38"/>
      <c r="I331" s="38"/>
      <c r="J331" s="38"/>
      <c r="K331" s="38"/>
      <c r="L331" s="55"/>
      <c r="M331" s="38"/>
      <c r="N331" s="38"/>
      <c r="O331" s="38"/>
      <c r="P331" s="38"/>
    </row>
    <row r="332" ht="15.75" customHeight="1">
      <c r="D332" s="38"/>
      <c r="E332" s="38"/>
      <c r="F332" s="38"/>
      <c r="G332" s="38"/>
      <c r="H332" s="38"/>
      <c r="I332" s="38"/>
      <c r="J332" s="38"/>
      <c r="K332" s="38"/>
      <c r="L332" s="55"/>
      <c r="M332" s="38"/>
      <c r="N332" s="38"/>
      <c r="O332" s="38"/>
      <c r="P332" s="38"/>
    </row>
    <row r="333" ht="15.75" customHeight="1">
      <c r="D333" s="38"/>
      <c r="E333" s="38"/>
      <c r="F333" s="38"/>
      <c r="G333" s="38"/>
      <c r="H333" s="38"/>
      <c r="I333" s="38"/>
      <c r="J333" s="38"/>
      <c r="K333" s="38"/>
      <c r="L333" s="55"/>
      <c r="M333" s="38"/>
      <c r="N333" s="38"/>
      <c r="O333" s="38"/>
      <c r="P333" s="38"/>
    </row>
    <row r="334" ht="15.75" customHeight="1">
      <c r="D334" s="38"/>
      <c r="E334" s="38"/>
      <c r="F334" s="38"/>
      <c r="G334" s="38"/>
      <c r="H334" s="38"/>
      <c r="I334" s="38"/>
      <c r="J334" s="38"/>
      <c r="K334" s="38"/>
      <c r="L334" s="55"/>
      <c r="M334" s="38"/>
      <c r="N334" s="38"/>
      <c r="O334" s="38"/>
      <c r="P334" s="38"/>
    </row>
    <row r="335" ht="15.75" customHeight="1">
      <c r="D335" s="38"/>
      <c r="E335" s="38"/>
      <c r="F335" s="38"/>
      <c r="G335" s="38"/>
      <c r="H335" s="38"/>
      <c r="I335" s="38"/>
      <c r="J335" s="38"/>
      <c r="K335" s="38"/>
      <c r="L335" s="55"/>
      <c r="M335" s="38"/>
      <c r="N335" s="38"/>
      <c r="O335" s="38"/>
      <c r="P335" s="38"/>
    </row>
    <row r="336" ht="15.75" customHeight="1">
      <c r="D336" s="38"/>
      <c r="E336" s="38"/>
      <c r="F336" s="38"/>
      <c r="G336" s="38"/>
      <c r="H336" s="38"/>
      <c r="I336" s="38"/>
      <c r="J336" s="38"/>
      <c r="K336" s="38"/>
      <c r="L336" s="55"/>
      <c r="M336" s="38"/>
      <c r="N336" s="38"/>
      <c r="O336" s="38"/>
      <c r="P336" s="38"/>
    </row>
    <row r="337" ht="15.75" customHeight="1">
      <c r="D337" s="38"/>
      <c r="E337" s="38"/>
      <c r="F337" s="38"/>
      <c r="G337" s="38"/>
      <c r="H337" s="38"/>
      <c r="I337" s="38"/>
      <c r="J337" s="38"/>
      <c r="K337" s="38"/>
      <c r="L337" s="55"/>
      <c r="M337" s="38"/>
      <c r="N337" s="38"/>
      <c r="O337" s="38"/>
      <c r="P337" s="38"/>
    </row>
    <row r="338" ht="15.75" customHeight="1">
      <c r="D338" s="38"/>
      <c r="E338" s="38"/>
      <c r="F338" s="38"/>
      <c r="G338" s="38"/>
      <c r="H338" s="38"/>
      <c r="I338" s="38"/>
      <c r="J338" s="38"/>
      <c r="K338" s="38"/>
      <c r="L338" s="55"/>
      <c r="M338" s="38"/>
      <c r="N338" s="38"/>
      <c r="O338" s="38"/>
      <c r="P338" s="38"/>
    </row>
    <row r="339" ht="15.75" customHeight="1">
      <c r="D339" s="38"/>
      <c r="E339" s="38"/>
      <c r="F339" s="38"/>
      <c r="G339" s="38"/>
      <c r="H339" s="38"/>
      <c r="I339" s="38"/>
      <c r="J339" s="38"/>
      <c r="K339" s="38"/>
      <c r="L339" s="55"/>
      <c r="M339" s="38"/>
      <c r="N339" s="38"/>
      <c r="O339" s="38"/>
      <c r="P339" s="38"/>
    </row>
    <row r="340" ht="15.75" customHeight="1">
      <c r="D340" s="38"/>
      <c r="E340" s="38"/>
      <c r="F340" s="38"/>
      <c r="G340" s="38"/>
      <c r="H340" s="38"/>
      <c r="I340" s="38"/>
      <c r="J340" s="38"/>
      <c r="K340" s="38"/>
      <c r="L340" s="55"/>
      <c r="M340" s="38"/>
      <c r="N340" s="38"/>
      <c r="O340" s="38"/>
      <c r="P340" s="38"/>
    </row>
    <row r="341" ht="15.75" customHeight="1">
      <c r="D341" s="38"/>
      <c r="E341" s="38"/>
      <c r="F341" s="38"/>
      <c r="G341" s="38"/>
      <c r="H341" s="38"/>
      <c r="I341" s="38"/>
      <c r="J341" s="38"/>
      <c r="K341" s="38"/>
      <c r="L341" s="55"/>
      <c r="M341" s="38"/>
      <c r="N341" s="38"/>
      <c r="O341" s="38"/>
      <c r="P341" s="38"/>
    </row>
    <row r="342" ht="15.75" customHeight="1">
      <c r="D342" s="38"/>
      <c r="E342" s="38"/>
      <c r="F342" s="38"/>
      <c r="G342" s="38"/>
      <c r="H342" s="38"/>
      <c r="I342" s="38"/>
      <c r="J342" s="38"/>
      <c r="K342" s="38"/>
      <c r="L342" s="55"/>
      <c r="M342" s="38"/>
      <c r="N342" s="38"/>
      <c r="O342" s="38"/>
      <c r="P342" s="38"/>
    </row>
    <row r="343" ht="15.75" customHeight="1">
      <c r="D343" s="38"/>
      <c r="E343" s="38"/>
      <c r="F343" s="38"/>
      <c r="G343" s="38"/>
      <c r="H343" s="38"/>
      <c r="I343" s="38"/>
      <c r="J343" s="38"/>
      <c r="K343" s="38"/>
      <c r="L343" s="55"/>
      <c r="M343" s="38"/>
      <c r="N343" s="38"/>
      <c r="O343" s="38"/>
      <c r="P343" s="38"/>
    </row>
    <row r="344" ht="15.75" customHeight="1">
      <c r="D344" s="38"/>
      <c r="E344" s="38"/>
      <c r="F344" s="38"/>
      <c r="G344" s="38"/>
      <c r="H344" s="38"/>
      <c r="I344" s="38"/>
      <c r="J344" s="38"/>
      <c r="K344" s="38"/>
      <c r="L344" s="55"/>
      <c r="M344" s="38"/>
      <c r="N344" s="38"/>
      <c r="O344" s="38"/>
      <c r="P344" s="38"/>
    </row>
    <row r="345" ht="15.75" customHeight="1">
      <c r="D345" s="38"/>
      <c r="E345" s="38"/>
      <c r="F345" s="38"/>
      <c r="G345" s="38"/>
      <c r="H345" s="38"/>
      <c r="I345" s="38"/>
      <c r="J345" s="38"/>
      <c r="K345" s="38"/>
      <c r="L345" s="55"/>
      <c r="M345" s="38"/>
      <c r="N345" s="38"/>
      <c r="O345" s="38"/>
      <c r="P345" s="38"/>
    </row>
    <row r="346" ht="15.75" customHeight="1">
      <c r="D346" s="38"/>
      <c r="E346" s="38"/>
      <c r="F346" s="38"/>
      <c r="G346" s="38"/>
      <c r="H346" s="38"/>
      <c r="I346" s="38"/>
      <c r="J346" s="38"/>
      <c r="K346" s="38"/>
      <c r="L346" s="55"/>
      <c r="M346" s="38"/>
      <c r="N346" s="38"/>
      <c r="O346" s="38"/>
      <c r="P346" s="38"/>
    </row>
    <row r="347" ht="15.75" customHeight="1">
      <c r="D347" s="38"/>
      <c r="E347" s="38"/>
      <c r="F347" s="38"/>
      <c r="G347" s="38"/>
      <c r="H347" s="38"/>
      <c r="I347" s="38"/>
      <c r="J347" s="38"/>
      <c r="K347" s="38"/>
      <c r="L347" s="55"/>
      <c r="M347" s="38"/>
      <c r="N347" s="38"/>
      <c r="O347" s="38"/>
      <c r="P347" s="38"/>
    </row>
    <row r="348" ht="15.75" customHeight="1">
      <c r="D348" s="38"/>
      <c r="E348" s="38"/>
      <c r="F348" s="38"/>
      <c r="G348" s="38"/>
      <c r="H348" s="38"/>
      <c r="I348" s="38"/>
      <c r="J348" s="38"/>
      <c r="K348" s="38"/>
      <c r="L348" s="55"/>
      <c r="M348" s="38"/>
      <c r="N348" s="38"/>
      <c r="O348" s="38"/>
      <c r="P348" s="38"/>
    </row>
    <row r="349" ht="15.75" customHeight="1">
      <c r="D349" s="38"/>
      <c r="E349" s="38"/>
      <c r="F349" s="38"/>
      <c r="G349" s="38"/>
      <c r="H349" s="38"/>
      <c r="I349" s="38"/>
      <c r="J349" s="38"/>
      <c r="K349" s="38"/>
      <c r="L349" s="55"/>
      <c r="M349" s="38"/>
      <c r="N349" s="38"/>
      <c r="O349" s="38"/>
      <c r="P349" s="38"/>
    </row>
    <row r="350" ht="15.75" customHeight="1">
      <c r="D350" s="38"/>
      <c r="E350" s="38"/>
      <c r="F350" s="38"/>
      <c r="G350" s="38"/>
      <c r="H350" s="38"/>
      <c r="I350" s="38"/>
      <c r="J350" s="38"/>
      <c r="K350" s="38"/>
      <c r="L350" s="55"/>
      <c r="M350" s="38"/>
      <c r="N350" s="38"/>
      <c r="O350" s="38"/>
      <c r="P350" s="38"/>
    </row>
    <row r="351" ht="15.75" customHeight="1">
      <c r="D351" s="38"/>
      <c r="E351" s="38"/>
      <c r="F351" s="38"/>
      <c r="G351" s="38"/>
      <c r="H351" s="38"/>
      <c r="I351" s="38"/>
      <c r="J351" s="38"/>
      <c r="K351" s="38"/>
      <c r="L351" s="55"/>
      <c r="M351" s="38"/>
      <c r="N351" s="38"/>
      <c r="O351" s="38"/>
      <c r="P351" s="38"/>
    </row>
    <row r="352" ht="15.75" customHeight="1">
      <c r="D352" s="38"/>
      <c r="E352" s="38"/>
      <c r="F352" s="38"/>
      <c r="G352" s="38"/>
      <c r="H352" s="38"/>
      <c r="I352" s="38"/>
      <c r="J352" s="38"/>
      <c r="K352" s="38"/>
      <c r="L352" s="55"/>
      <c r="M352" s="38"/>
      <c r="N352" s="38"/>
      <c r="O352" s="38"/>
      <c r="P352" s="38"/>
    </row>
    <row r="353" ht="15.75" customHeight="1">
      <c r="D353" s="38"/>
      <c r="E353" s="38"/>
      <c r="F353" s="38"/>
      <c r="G353" s="38"/>
      <c r="H353" s="38"/>
      <c r="I353" s="38"/>
      <c r="J353" s="38"/>
      <c r="K353" s="38"/>
      <c r="L353" s="55"/>
      <c r="M353" s="38"/>
      <c r="N353" s="38"/>
      <c r="O353" s="38"/>
      <c r="P353" s="38"/>
    </row>
    <row r="354" ht="15.75" customHeight="1">
      <c r="D354" s="38"/>
      <c r="E354" s="38"/>
      <c r="F354" s="38"/>
      <c r="G354" s="38"/>
      <c r="H354" s="38"/>
      <c r="I354" s="38"/>
      <c r="J354" s="38"/>
      <c r="K354" s="38"/>
      <c r="L354" s="55"/>
      <c r="M354" s="38"/>
      <c r="N354" s="38"/>
      <c r="O354" s="38"/>
      <c r="P354" s="38"/>
    </row>
    <row r="355" ht="15.75" customHeight="1">
      <c r="D355" s="38"/>
      <c r="E355" s="38"/>
      <c r="F355" s="38"/>
      <c r="G355" s="38"/>
      <c r="H355" s="38"/>
      <c r="I355" s="38"/>
      <c r="J355" s="38"/>
      <c r="K355" s="38"/>
      <c r="L355" s="55"/>
      <c r="M355" s="38"/>
      <c r="N355" s="38"/>
      <c r="O355" s="38"/>
      <c r="P355" s="38"/>
    </row>
    <row r="356" ht="15.75" customHeight="1">
      <c r="D356" s="38"/>
      <c r="E356" s="38"/>
      <c r="F356" s="38"/>
      <c r="G356" s="38"/>
      <c r="H356" s="38"/>
      <c r="I356" s="38"/>
      <c r="J356" s="38"/>
      <c r="K356" s="38"/>
      <c r="L356" s="55"/>
      <c r="M356" s="38"/>
      <c r="N356" s="38"/>
      <c r="O356" s="38"/>
      <c r="P356" s="38"/>
    </row>
    <row r="357" ht="15.75" customHeight="1">
      <c r="D357" s="38"/>
      <c r="E357" s="38"/>
      <c r="F357" s="38"/>
      <c r="G357" s="38"/>
      <c r="H357" s="38"/>
      <c r="I357" s="38"/>
      <c r="J357" s="38"/>
      <c r="K357" s="38"/>
      <c r="L357" s="55"/>
      <c r="M357" s="38"/>
      <c r="N357" s="38"/>
      <c r="O357" s="38"/>
      <c r="P357" s="38"/>
    </row>
    <row r="358" ht="15.75" customHeight="1">
      <c r="D358" s="38"/>
      <c r="E358" s="38"/>
      <c r="F358" s="38"/>
      <c r="G358" s="38"/>
      <c r="H358" s="38"/>
      <c r="I358" s="38"/>
      <c r="J358" s="38"/>
      <c r="K358" s="38"/>
      <c r="L358" s="55"/>
      <c r="M358" s="38"/>
      <c r="N358" s="38"/>
      <c r="O358" s="38"/>
      <c r="P358" s="38"/>
    </row>
    <row r="359" ht="15.75" customHeight="1">
      <c r="D359" s="38"/>
      <c r="E359" s="38"/>
      <c r="F359" s="38"/>
      <c r="G359" s="38"/>
      <c r="H359" s="38"/>
      <c r="I359" s="38"/>
      <c r="J359" s="38"/>
      <c r="K359" s="38"/>
      <c r="L359" s="55"/>
      <c r="M359" s="38"/>
      <c r="N359" s="38"/>
      <c r="O359" s="38"/>
      <c r="P359" s="38"/>
    </row>
    <row r="360" ht="15.75" customHeight="1">
      <c r="D360" s="38"/>
      <c r="E360" s="38"/>
      <c r="F360" s="38"/>
      <c r="G360" s="38"/>
      <c r="H360" s="38"/>
      <c r="I360" s="38"/>
      <c r="J360" s="38"/>
      <c r="K360" s="38"/>
      <c r="L360" s="55"/>
      <c r="M360" s="38"/>
      <c r="N360" s="38"/>
      <c r="O360" s="38"/>
      <c r="P360" s="38"/>
    </row>
    <row r="361" ht="15.75" customHeight="1">
      <c r="D361" s="38"/>
      <c r="E361" s="38"/>
      <c r="F361" s="38"/>
      <c r="G361" s="38"/>
      <c r="H361" s="38"/>
      <c r="I361" s="38"/>
      <c r="J361" s="38"/>
      <c r="K361" s="38"/>
      <c r="L361" s="55"/>
      <c r="M361" s="38"/>
      <c r="N361" s="38"/>
      <c r="O361" s="38"/>
      <c r="P361" s="38"/>
    </row>
    <row r="362" ht="15.75" customHeight="1">
      <c r="D362" s="38"/>
      <c r="E362" s="38"/>
      <c r="F362" s="38"/>
      <c r="G362" s="38"/>
      <c r="H362" s="38"/>
      <c r="I362" s="38"/>
      <c r="J362" s="38"/>
      <c r="K362" s="38"/>
      <c r="L362" s="55"/>
      <c r="M362" s="38"/>
      <c r="N362" s="38"/>
      <c r="O362" s="38"/>
      <c r="P362" s="38"/>
    </row>
    <row r="363" ht="15.75" customHeight="1">
      <c r="D363" s="38"/>
      <c r="E363" s="38"/>
      <c r="F363" s="38"/>
      <c r="G363" s="38"/>
      <c r="H363" s="38"/>
      <c r="I363" s="38"/>
      <c r="J363" s="38"/>
      <c r="K363" s="38"/>
      <c r="L363" s="55"/>
      <c r="M363" s="38"/>
      <c r="N363" s="38"/>
      <c r="O363" s="38"/>
      <c r="P363" s="38"/>
    </row>
    <row r="364" ht="15.75" customHeight="1">
      <c r="D364" s="38"/>
      <c r="E364" s="38"/>
      <c r="F364" s="38"/>
      <c r="G364" s="38"/>
      <c r="H364" s="38"/>
      <c r="I364" s="38"/>
      <c r="J364" s="38"/>
      <c r="K364" s="38"/>
      <c r="L364" s="55"/>
      <c r="M364" s="38"/>
      <c r="N364" s="38"/>
      <c r="O364" s="38"/>
      <c r="P364" s="38"/>
    </row>
    <row r="365" ht="15.75" customHeight="1">
      <c r="D365" s="38"/>
      <c r="E365" s="38"/>
      <c r="F365" s="38"/>
      <c r="G365" s="38"/>
      <c r="H365" s="38"/>
      <c r="I365" s="38"/>
      <c r="J365" s="38"/>
      <c r="K365" s="38"/>
      <c r="L365" s="55"/>
      <c r="M365" s="38"/>
      <c r="N365" s="38"/>
      <c r="O365" s="38"/>
      <c r="P365" s="38"/>
    </row>
    <row r="366" ht="15.75" customHeight="1">
      <c r="D366" s="38"/>
      <c r="E366" s="38"/>
      <c r="F366" s="38"/>
      <c r="G366" s="38"/>
      <c r="H366" s="38"/>
      <c r="I366" s="38"/>
      <c r="J366" s="38"/>
      <c r="K366" s="38"/>
      <c r="L366" s="55"/>
      <c r="M366" s="38"/>
      <c r="N366" s="38"/>
      <c r="O366" s="38"/>
      <c r="P366" s="38"/>
    </row>
    <row r="367" ht="15.75" customHeight="1">
      <c r="D367" s="38"/>
      <c r="E367" s="38"/>
      <c r="F367" s="38"/>
      <c r="G367" s="38"/>
      <c r="H367" s="38"/>
      <c r="I367" s="38"/>
      <c r="J367" s="38"/>
      <c r="K367" s="38"/>
      <c r="L367" s="55"/>
      <c r="M367" s="38"/>
      <c r="N367" s="38"/>
      <c r="O367" s="38"/>
      <c r="P367" s="38"/>
    </row>
    <row r="368" ht="15.75" customHeight="1">
      <c r="D368" s="38"/>
      <c r="E368" s="38"/>
      <c r="F368" s="38"/>
      <c r="G368" s="38"/>
      <c r="H368" s="38"/>
      <c r="I368" s="38"/>
      <c r="J368" s="38"/>
      <c r="K368" s="38"/>
      <c r="L368" s="55"/>
      <c r="M368" s="38"/>
      <c r="N368" s="38"/>
      <c r="O368" s="38"/>
      <c r="P368" s="38"/>
    </row>
    <row r="369" ht="15.75" customHeight="1">
      <c r="D369" s="38"/>
      <c r="E369" s="38"/>
      <c r="F369" s="38"/>
      <c r="G369" s="38"/>
      <c r="H369" s="38"/>
      <c r="I369" s="38"/>
      <c r="J369" s="38"/>
      <c r="K369" s="38"/>
      <c r="L369" s="55"/>
      <c r="M369" s="38"/>
      <c r="N369" s="38"/>
      <c r="O369" s="38"/>
      <c r="P369" s="38"/>
    </row>
    <row r="370" ht="15.75" customHeight="1">
      <c r="D370" s="38"/>
      <c r="E370" s="38"/>
      <c r="F370" s="38"/>
      <c r="G370" s="38"/>
      <c r="H370" s="38"/>
      <c r="I370" s="38"/>
      <c r="J370" s="38"/>
      <c r="K370" s="38"/>
      <c r="L370" s="55"/>
      <c r="M370" s="38"/>
      <c r="N370" s="38"/>
      <c r="O370" s="38"/>
      <c r="P370" s="38"/>
    </row>
    <row r="371" ht="15.75" customHeight="1">
      <c r="D371" s="38"/>
      <c r="E371" s="38"/>
      <c r="F371" s="38"/>
      <c r="G371" s="38"/>
      <c r="H371" s="38"/>
      <c r="I371" s="38"/>
      <c r="J371" s="38"/>
      <c r="K371" s="38"/>
      <c r="L371" s="55"/>
      <c r="M371" s="38"/>
      <c r="N371" s="38"/>
      <c r="O371" s="38"/>
      <c r="P371" s="38"/>
    </row>
    <row r="372" ht="15.75" customHeight="1">
      <c r="D372" s="38"/>
      <c r="E372" s="38"/>
      <c r="F372" s="38"/>
      <c r="G372" s="38"/>
      <c r="H372" s="38"/>
      <c r="I372" s="38"/>
      <c r="J372" s="38"/>
      <c r="K372" s="38"/>
      <c r="L372" s="55"/>
      <c r="M372" s="38"/>
      <c r="N372" s="38"/>
      <c r="O372" s="38"/>
      <c r="P372" s="38"/>
    </row>
    <row r="373" ht="15.75" customHeight="1">
      <c r="D373" s="38"/>
      <c r="E373" s="38"/>
      <c r="F373" s="38"/>
      <c r="G373" s="38"/>
      <c r="H373" s="38"/>
      <c r="I373" s="38"/>
      <c r="J373" s="38"/>
      <c r="K373" s="38"/>
      <c r="L373" s="55"/>
      <c r="M373" s="38"/>
      <c r="N373" s="38"/>
      <c r="O373" s="38"/>
      <c r="P373" s="38"/>
    </row>
    <row r="374" ht="15.75" customHeight="1">
      <c r="D374" s="38"/>
      <c r="E374" s="38"/>
      <c r="F374" s="38"/>
      <c r="G374" s="38"/>
      <c r="H374" s="38"/>
      <c r="I374" s="38"/>
      <c r="J374" s="38"/>
      <c r="K374" s="38"/>
      <c r="L374" s="55"/>
      <c r="M374" s="38"/>
      <c r="N374" s="38"/>
      <c r="O374" s="38"/>
      <c r="P374" s="38"/>
    </row>
    <row r="375" ht="15.75" customHeight="1">
      <c r="D375" s="38"/>
      <c r="E375" s="38"/>
      <c r="F375" s="38"/>
      <c r="G375" s="38"/>
      <c r="H375" s="38"/>
      <c r="I375" s="38"/>
      <c r="J375" s="38"/>
      <c r="K375" s="38"/>
      <c r="L375" s="55"/>
      <c r="M375" s="38"/>
      <c r="N375" s="38"/>
      <c r="O375" s="38"/>
      <c r="P375" s="38"/>
    </row>
    <row r="376" ht="15.75" customHeight="1">
      <c r="D376" s="38"/>
      <c r="E376" s="38"/>
      <c r="F376" s="38"/>
      <c r="G376" s="38"/>
      <c r="H376" s="38"/>
      <c r="I376" s="38"/>
      <c r="J376" s="38"/>
      <c r="K376" s="38"/>
      <c r="L376" s="55"/>
      <c r="M376" s="38"/>
      <c r="N376" s="38"/>
      <c r="O376" s="38"/>
      <c r="P376" s="38"/>
    </row>
    <row r="377" ht="15.75" customHeight="1">
      <c r="D377" s="38"/>
      <c r="E377" s="38"/>
      <c r="F377" s="38"/>
      <c r="G377" s="38"/>
      <c r="H377" s="38"/>
      <c r="I377" s="38"/>
      <c r="J377" s="38"/>
      <c r="K377" s="38"/>
      <c r="L377" s="55"/>
      <c r="M377" s="38"/>
      <c r="N377" s="38"/>
      <c r="O377" s="38"/>
      <c r="P377" s="38"/>
    </row>
    <row r="378" ht="15.75" customHeight="1">
      <c r="D378" s="38"/>
      <c r="E378" s="38"/>
      <c r="F378" s="38"/>
      <c r="G378" s="38"/>
      <c r="H378" s="38"/>
      <c r="I378" s="38"/>
      <c r="J378" s="38"/>
      <c r="K378" s="38"/>
      <c r="L378" s="55"/>
      <c r="M378" s="38"/>
      <c r="N378" s="38"/>
      <c r="O378" s="38"/>
      <c r="P378" s="38"/>
    </row>
    <row r="379" ht="15.75" customHeight="1">
      <c r="D379" s="38"/>
      <c r="E379" s="38"/>
      <c r="F379" s="38"/>
      <c r="G379" s="38"/>
      <c r="H379" s="38"/>
      <c r="I379" s="38"/>
      <c r="J379" s="38"/>
      <c r="K379" s="38"/>
      <c r="L379" s="55"/>
      <c r="M379" s="38"/>
      <c r="N379" s="38"/>
      <c r="O379" s="38"/>
      <c r="P379" s="38"/>
    </row>
    <row r="380" ht="15.75" customHeight="1">
      <c r="D380" s="38"/>
      <c r="E380" s="38"/>
      <c r="F380" s="38"/>
      <c r="G380" s="38"/>
      <c r="H380" s="38"/>
      <c r="I380" s="38"/>
      <c r="J380" s="38"/>
      <c r="K380" s="38"/>
      <c r="L380" s="55"/>
      <c r="M380" s="38"/>
      <c r="N380" s="38"/>
      <c r="O380" s="38"/>
      <c r="P380" s="38"/>
    </row>
    <row r="381" ht="15.75" customHeight="1">
      <c r="D381" s="38"/>
      <c r="E381" s="38"/>
      <c r="F381" s="38"/>
      <c r="G381" s="38"/>
      <c r="H381" s="38"/>
      <c r="I381" s="38"/>
      <c r="J381" s="38"/>
      <c r="K381" s="38"/>
      <c r="L381" s="55"/>
      <c r="M381" s="38"/>
      <c r="N381" s="38"/>
      <c r="O381" s="38"/>
      <c r="P381" s="38"/>
    </row>
    <row r="382" ht="15.75" customHeight="1">
      <c r="D382" s="38"/>
      <c r="E382" s="38"/>
      <c r="F382" s="38"/>
      <c r="G382" s="38"/>
      <c r="H382" s="38"/>
      <c r="I382" s="38"/>
      <c r="J382" s="38"/>
      <c r="K382" s="38"/>
      <c r="L382" s="55"/>
      <c r="M382" s="38"/>
      <c r="N382" s="38"/>
      <c r="O382" s="38"/>
      <c r="P382" s="38"/>
    </row>
    <row r="383" ht="15.75" customHeight="1">
      <c r="D383" s="38"/>
      <c r="E383" s="38"/>
      <c r="F383" s="38"/>
      <c r="G383" s="38"/>
      <c r="H383" s="38"/>
      <c r="I383" s="38"/>
      <c r="J383" s="38"/>
      <c r="K383" s="38"/>
      <c r="L383" s="55"/>
      <c r="M383" s="38"/>
      <c r="N383" s="38"/>
      <c r="O383" s="38"/>
      <c r="P383" s="38"/>
    </row>
    <row r="384" ht="15.75" customHeight="1">
      <c r="D384" s="38"/>
      <c r="E384" s="38"/>
      <c r="F384" s="38"/>
      <c r="G384" s="38"/>
      <c r="H384" s="38"/>
      <c r="I384" s="38"/>
      <c r="J384" s="38"/>
      <c r="K384" s="38"/>
      <c r="L384" s="55"/>
      <c r="M384" s="38"/>
      <c r="N384" s="38"/>
      <c r="O384" s="38"/>
      <c r="P384" s="38"/>
    </row>
    <row r="385" ht="15.75" customHeight="1">
      <c r="D385" s="38"/>
      <c r="E385" s="38"/>
      <c r="F385" s="38"/>
      <c r="G385" s="38"/>
      <c r="H385" s="38"/>
      <c r="I385" s="38"/>
      <c r="J385" s="38"/>
      <c r="K385" s="38"/>
      <c r="L385" s="55"/>
      <c r="M385" s="38"/>
      <c r="N385" s="38"/>
      <c r="O385" s="38"/>
      <c r="P385" s="38"/>
    </row>
    <row r="386" ht="15.75" customHeight="1">
      <c r="D386" s="38"/>
      <c r="E386" s="38"/>
      <c r="F386" s="38"/>
      <c r="G386" s="38"/>
      <c r="H386" s="38"/>
      <c r="I386" s="38"/>
      <c r="J386" s="38"/>
      <c r="K386" s="38"/>
      <c r="L386" s="55"/>
      <c r="M386" s="38"/>
      <c r="N386" s="38"/>
      <c r="O386" s="38"/>
      <c r="P386" s="38"/>
    </row>
    <row r="387" ht="15.75" customHeight="1">
      <c r="D387" s="38"/>
      <c r="E387" s="38"/>
      <c r="F387" s="38"/>
      <c r="G387" s="38"/>
      <c r="H387" s="38"/>
      <c r="I387" s="38"/>
      <c r="J387" s="38"/>
      <c r="K387" s="38"/>
      <c r="L387" s="55"/>
      <c r="M387" s="38"/>
      <c r="N387" s="38"/>
      <c r="O387" s="38"/>
      <c r="P387" s="38"/>
    </row>
    <row r="388" ht="15.75" customHeight="1">
      <c r="D388" s="38"/>
      <c r="E388" s="38"/>
      <c r="F388" s="38"/>
      <c r="G388" s="38"/>
      <c r="H388" s="38"/>
      <c r="I388" s="38"/>
      <c r="J388" s="38"/>
      <c r="K388" s="38"/>
      <c r="L388" s="55"/>
      <c r="M388" s="38"/>
      <c r="N388" s="38"/>
      <c r="O388" s="38"/>
      <c r="P388" s="38"/>
    </row>
    <row r="389" ht="15.75" customHeight="1">
      <c r="D389" s="38"/>
      <c r="E389" s="38"/>
      <c r="F389" s="38"/>
      <c r="G389" s="38"/>
      <c r="H389" s="38"/>
      <c r="I389" s="38"/>
      <c r="J389" s="38"/>
      <c r="K389" s="38"/>
      <c r="L389" s="55"/>
      <c r="M389" s="38"/>
      <c r="N389" s="38"/>
      <c r="O389" s="38"/>
      <c r="P389" s="38"/>
    </row>
    <row r="390" ht="15.75" customHeight="1">
      <c r="D390" s="38"/>
      <c r="E390" s="38"/>
      <c r="F390" s="38"/>
      <c r="G390" s="38"/>
      <c r="H390" s="38"/>
      <c r="I390" s="38"/>
      <c r="J390" s="38"/>
      <c r="K390" s="38"/>
      <c r="L390" s="55"/>
      <c r="M390" s="38"/>
      <c r="N390" s="38"/>
      <c r="O390" s="38"/>
      <c r="P390" s="38"/>
    </row>
    <row r="391" ht="15.75" customHeight="1">
      <c r="D391" s="38"/>
      <c r="E391" s="38"/>
      <c r="F391" s="38"/>
      <c r="G391" s="38"/>
      <c r="H391" s="38"/>
      <c r="I391" s="38"/>
      <c r="J391" s="38"/>
      <c r="K391" s="38"/>
      <c r="L391" s="55"/>
      <c r="M391" s="38"/>
      <c r="N391" s="38"/>
      <c r="O391" s="38"/>
      <c r="P391" s="38"/>
    </row>
    <row r="392" ht="15.75" customHeight="1">
      <c r="D392" s="38"/>
      <c r="E392" s="38"/>
      <c r="F392" s="38"/>
      <c r="G392" s="38"/>
      <c r="H392" s="38"/>
      <c r="I392" s="38"/>
      <c r="J392" s="38"/>
      <c r="K392" s="38"/>
      <c r="L392" s="55"/>
      <c r="M392" s="38"/>
      <c r="N392" s="38"/>
      <c r="O392" s="38"/>
      <c r="P392" s="38"/>
    </row>
    <row r="393" ht="15.75" customHeight="1">
      <c r="D393" s="38"/>
      <c r="E393" s="38"/>
      <c r="F393" s="38"/>
      <c r="G393" s="38"/>
      <c r="H393" s="38"/>
      <c r="I393" s="38"/>
      <c r="J393" s="38"/>
      <c r="K393" s="38"/>
      <c r="L393" s="55"/>
      <c r="M393" s="38"/>
      <c r="N393" s="38"/>
      <c r="O393" s="38"/>
      <c r="P393" s="38"/>
    </row>
    <row r="394" ht="15.75" customHeight="1">
      <c r="D394" s="38"/>
      <c r="E394" s="38"/>
      <c r="F394" s="38"/>
      <c r="G394" s="38"/>
      <c r="H394" s="38"/>
      <c r="I394" s="38"/>
      <c r="J394" s="38"/>
      <c r="K394" s="38"/>
      <c r="L394" s="55"/>
      <c r="M394" s="38"/>
      <c r="N394" s="38"/>
      <c r="O394" s="38"/>
      <c r="P394" s="38"/>
    </row>
    <row r="395" ht="15.75" customHeight="1">
      <c r="D395" s="38"/>
      <c r="E395" s="38"/>
      <c r="F395" s="38"/>
      <c r="G395" s="38"/>
      <c r="H395" s="38"/>
      <c r="I395" s="38"/>
      <c r="J395" s="38"/>
      <c r="K395" s="38"/>
      <c r="L395" s="55"/>
      <c r="M395" s="38"/>
      <c r="N395" s="38"/>
      <c r="O395" s="38"/>
      <c r="P395" s="38"/>
    </row>
    <row r="396" ht="15.75" customHeight="1">
      <c r="D396" s="38"/>
      <c r="E396" s="38"/>
      <c r="F396" s="38"/>
      <c r="G396" s="38"/>
      <c r="H396" s="38"/>
      <c r="I396" s="38"/>
      <c r="J396" s="38"/>
      <c r="K396" s="38"/>
      <c r="L396" s="55"/>
      <c r="M396" s="38"/>
      <c r="N396" s="38"/>
      <c r="O396" s="38"/>
      <c r="P396" s="38"/>
    </row>
    <row r="397" ht="15.75" customHeight="1">
      <c r="D397" s="38"/>
      <c r="E397" s="38"/>
      <c r="F397" s="38"/>
      <c r="G397" s="38"/>
      <c r="H397" s="38"/>
      <c r="I397" s="38"/>
      <c r="J397" s="38"/>
      <c r="K397" s="38"/>
      <c r="L397" s="55"/>
      <c r="M397" s="38"/>
      <c r="N397" s="38"/>
      <c r="O397" s="38"/>
      <c r="P397" s="38"/>
    </row>
    <row r="398" ht="15.75" customHeight="1">
      <c r="D398" s="38"/>
      <c r="E398" s="38"/>
      <c r="F398" s="38"/>
      <c r="G398" s="38"/>
      <c r="H398" s="38"/>
      <c r="I398" s="38"/>
      <c r="J398" s="38"/>
      <c r="K398" s="38"/>
      <c r="L398" s="55"/>
      <c r="M398" s="38"/>
      <c r="N398" s="38"/>
      <c r="O398" s="38"/>
      <c r="P398" s="38"/>
    </row>
    <row r="399" ht="15.75" customHeight="1">
      <c r="D399" s="38"/>
      <c r="E399" s="38"/>
      <c r="F399" s="38"/>
      <c r="G399" s="38"/>
      <c r="H399" s="38"/>
      <c r="I399" s="38"/>
      <c r="J399" s="38"/>
      <c r="K399" s="38"/>
      <c r="L399" s="55"/>
      <c r="M399" s="38"/>
      <c r="N399" s="38"/>
      <c r="O399" s="38"/>
      <c r="P399" s="38"/>
    </row>
    <row r="400" ht="15.75" customHeight="1">
      <c r="D400" s="38"/>
      <c r="E400" s="38"/>
      <c r="F400" s="38"/>
      <c r="G400" s="38"/>
      <c r="H400" s="38"/>
      <c r="I400" s="38"/>
      <c r="J400" s="38"/>
      <c r="K400" s="38"/>
      <c r="L400" s="55"/>
      <c r="M400" s="38"/>
      <c r="N400" s="38"/>
      <c r="O400" s="38"/>
      <c r="P400" s="38"/>
    </row>
    <row r="401" ht="15.75" customHeight="1">
      <c r="D401" s="38"/>
      <c r="E401" s="38"/>
      <c r="F401" s="38"/>
      <c r="G401" s="38"/>
      <c r="H401" s="38"/>
      <c r="I401" s="38"/>
      <c r="J401" s="38"/>
      <c r="K401" s="38"/>
      <c r="L401" s="55"/>
      <c r="M401" s="38"/>
      <c r="N401" s="38"/>
      <c r="O401" s="38"/>
      <c r="P401" s="38"/>
    </row>
    <row r="402" ht="15.75" customHeight="1">
      <c r="D402" s="38"/>
      <c r="E402" s="38"/>
      <c r="F402" s="38"/>
      <c r="G402" s="38"/>
      <c r="H402" s="38"/>
      <c r="I402" s="38"/>
      <c r="J402" s="38"/>
      <c r="K402" s="38"/>
      <c r="L402" s="55"/>
      <c r="M402" s="38"/>
      <c r="N402" s="38"/>
      <c r="O402" s="38"/>
      <c r="P402" s="38"/>
    </row>
    <row r="403" ht="15.75" customHeight="1">
      <c r="D403" s="38"/>
      <c r="E403" s="38"/>
      <c r="F403" s="38"/>
      <c r="G403" s="38"/>
      <c r="H403" s="38"/>
      <c r="I403" s="38"/>
      <c r="J403" s="38"/>
      <c r="K403" s="38"/>
      <c r="L403" s="55"/>
      <c r="M403" s="38"/>
      <c r="N403" s="38"/>
      <c r="O403" s="38"/>
      <c r="P403" s="38"/>
    </row>
    <row r="404" ht="15.75" customHeight="1">
      <c r="D404" s="38"/>
      <c r="E404" s="38"/>
      <c r="F404" s="38"/>
      <c r="G404" s="38"/>
      <c r="H404" s="38"/>
      <c r="I404" s="38"/>
      <c r="J404" s="38"/>
      <c r="K404" s="38"/>
      <c r="L404" s="55"/>
      <c r="M404" s="38"/>
      <c r="N404" s="38"/>
      <c r="O404" s="38"/>
      <c r="P404" s="38"/>
    </row>
    <row r="405" ht="15.75" customHeight="1">
      <c r="D405" s="38"/>
      <c r="E405" s="38"/>
      <c r="F405" s="38"/>
      <c r="G405" s="38"/>
      <c r="H405" s="38"/>
      <c r="I405" s="38"/>
      <c r="J405" s="38"/>
      <c r="K405" s="38"/>
      <c r="L405" s="55"/>
      <c r="M405" s="38"/>
      <c r="N405" s="38"/>
      <c r="O405" s="38"/>
      <c r="P405" s="38"/>
    </row>
    <row r="406" ht="15.75" customHeight="1">
      <c r="D406" s="38"/>
      <c r="E406" s="38"/>
      <c r="F406" s="38"/>
      <c r="G406" s="38"/>
      <c r="H406" s="38"/>
      <c r="I406" s="38"/>
      <c r="J406" s="38"/>
      <c r="K406" s="38"/>
      <c r="L406" s="55"/>
      <c r="M406" s="38"/>
      <c r="N406" s="38"/>
      <c r="O406" s="38"/>
      <c r="P406" s="38"/>
    </row>
    <row r="407" ht="15.75" customHeight="1">
      <c r="D407" s="38"/>
      <c r="E407" s="38"/>
      <c r="F407" s="38"/>
      <c r="G407" s="38"/>
      <c r="H407" s="38"/>
      <c r="I407" s="38"/>
      <c r="J407" s="38"/>
      <c r="K407" s="38"/>
      <c r="L407" s="55"/>
      <c r="M407" s="38"/>
      <c r="N407" s="38"/>
      <c r="O407" s="38"/>
      <c r="P407" s="38"/>
    </row>
    <row r="408" ht="15.75" customHeight="1">
      <c r="D408" s="38"/>
      <c r="E408" s="38"/>
      <c r="F408" s="38"/>
      <c r="G408" s="38"/>
      <c r="H408" s="38"/>
      <c r="I408" s="38"/>
      <c r="J408" s="38"/>
      <c r="K408" s="38"/>
      <c r="L408" s="55"/>
      <c r="M408" s="38"/>
      <c r="N408" s="38"/>
      <c r="O408" s="38"/>
      <c r="P408" s="38"/>
    </row>
    <row r="409" ht="15.75" customHeight="1">
      <c r="D409" s="38"/>
      <c r="E409" s="38"/>
      <c r="F409" s="38"/>
      <c r="G409" s="38"/>
      <c r="H409" s="38"/>
      <c r="I409" s="38"/>
      <c r="J409" s="38"/>
      <c r="K409" s="38"/>
      <c r="L409" s="55"/>
      <c r="M409" s="38"/>
      <c r="N409" s="38"/>
      <c r="O409" s="38"/>
      <c r="P409" s="38"/>
    </row>
    <row r="410" ht="15.75" customHeight="1">
      <c r="D410" s="38"/>
      <c r="E410" s="38"/>
      <c r="F410" s="38"/>
      <c r="G410" s="38"/>
      <c r="H410" s="38"/>
      <c r="I410" s="38"/>
      <c r="J410" s="38"/>
      <c r="K410" s="38"/>
      <c r="L410" s="55"/>
      <c r="M410" s="38"/>
      <c r="N410" s="38"/>
      <c r="O410" s="38"/>
      <c r="P410" s="38"/>
    </row>
    <row r="411" ht="15.75" customHeight="1">
      <c r="D411" s="38"/>
      <c r="E411" s="38"/>
      <c r="F411" s="38"/>
      <c r="G411" s="38"/>
      <c r="H411" s="38"/>
      <c r="I411" s="38"/>
      <c r="J411" s="38"/>
      <c r="K411" s="38"/>
      <c r="L411" s="55"/>
      <c r="M411" s="38"/>
      <c r="N411" s="38"/>
      <c r="O411" s="38"/>
      <c r="P411" s="38"/>
    </row>
    <row r="412" ht="15.75" customHeight="1">
      <c r="D412" s="38"/>
      <c r="E412" s="38"/>
      <c r="F412" s="38"/>
      <c r="G412" s="38"/>
      <c r="H412" s="38"/>
      <c r="I412" s="38"/>
      <c r="J412" s="38"/>
      <c r="K412" s="38"/>
      <c r="L412" s="55"/>
      <c r="M412" s="38"/>
      <c r="N412" s="38"/>
      <c r="O412" s="38"/>
      <c r="P412" s="38"/>
    </row>
    <row r="413" ht="15.75" customHeight="1">
      <c r="D413" s="38"/>
      <c r="E413" s="38"/>
      <c r="F413" s="38"/>
      <c r="G413" s="38"/>
      <c r="H413" s="38"/>
      <c r="I413" s="38"/>
      <c r="J413" s="38"/>
      <c r="K413" s="38"/>
      <c r="L413" s="55"/>
      <c r="M413" s="38"/>
      <c r="N413" s="38"/>
      <c r="O413" s="38"/>
      <c r="P413" s="38"/>
    </row>
    <row r="414" ht="15.75" customHeight="1">
      <c r="D414" s="38"/>
      <c r="E414" s="38"/>
      <c r="F414" s="38"/>
      <c r="G414" s="38"/>
      <c r="H414" s="38"/>
      <c r="I414" s="38"/>
      <c r="J414" s="38"/>
      <c r="K414" s="38"/>
      <c r="L414" s="55"/>
      <c r="M414" s="38"/>
      <c r="N414" s="38"/>
      <c r="O414" s="38"/>
      <c r="P414" s="38"/>
    </row>
    <row r="415" ht="15.75" customHeight="1">
      <c r="D415" s="38"/>
      <c r="E415" s="38"/>
      <c r="F415" s="38"/>
      <c r="G415" s="38"/>
      <c r="H415" s="38"/>
      <c r="I415" s="38"/>
      <c r="J415" s="38"/>
      <c r="K415" s="38"/>
      <c r="L415" s="55"/>
      <c r="M415" s="38"/>
      <c r="N415" s="38"/>
      <c r="O415" s="38"/>
      <c r="P415" s="38"/>
    </row>
    <row r="416" ht="15.75" customHeight="1">
      <c r="D416" s="38"/>
      <c r="E416" s="38"/>
      <c r="F416" s="38"/>
      <c r="G416" s="38"/>
      <c r="H416" s="38"/>
      <c r="I416" s="38"/>
      <c r="J416" s="38"/>
      <c r="K416" s="38"/>
      <c r="L416" s="55"/>
      <c r="M416" s="38"/>
      <c r="N416" s="38"/>
      <c r="O416" s="38"/>
      <c r="P416" s="38"/>
    </row>
    <row r="417" ht="15.75" customHeight="1">
      <c r="D417" s="38"/>
      <c r="E417" s="38"/>
      <c r="F417" s="38"/>
      <c r="G417" s="38"/>
      <c r="H417" s="38"/>
      <c r="I417" s="38"/>
      <c r="J417" s="38"/>
      <c r="K417" s="38"/>
      <c r="L417" s="55"/>
      <c r="M417" s="38"/>
      <c r="N417" s="38"/>
      <c r="O417" s="38"/>
      <c r="P417" s="38"/>
    </row>
    <row r="418" ht="15.75" customHeight="1">
      <c r="D418" s="38"/>
      <c r="E418" s="38"/>
      <c r="F418" s="38"/>
      <c r="G418" s="38"/>
      <c r="H418" s="38"/>
      <c r="I418" s="38"/>
      <c r="J418" s="38"/>
      <c r="K418" s="38"/>
      <c r="L418" s="55"/>
      <c r="M418" s="38"/>
      <c r="N418" s="38"/>
      <c r="O418" s="38"/>
      <c r="P418" s="38"/>
    </row>
    <row r="419" ht="15.75" customHeight="1">
      <c r="D419" s="38"/>
      <c r="E419" s="38"/>
      <c r="F419" s="38"/>
      <c r="G419" s="38"/>
      <c r="H419" s="38"/>
      <c r="I419" s="38"/>
      <c r="J419" s="38"/>
      <c r="K419" s="38"/>
      <c r="L419" s="55"/>
      <c r="M419" s="38"/>
      <c r="N419" s="38"/>
      <c r="O419" s="38"/>
      <c r="P419" s="38"/>
    </row>
    <row r="420" ht="15.75" customHeight="1">
      <c r="D420" s="38"/>
      <c r="E420" s="38"/>
      <c r="F420" s="38"/>
      <c r="G420" s="38"/>
      <c r="H420" s="38"/>
      <c r="I420" s="38"/>
      <c r="J420" s="38"/>
      <c r="K420" s="38"/>
      <c r="L420" s="55"/>
      <c r="M420" s="38"/>
      <c r="N420" s="38"/>
      <c r="O420" s="38"/>
      <c r="P420" s="38"/>
    </row>
    <row r="421" ht="15.75" customHeight="1">
      <c r="D421" s="38"/>
      <c r="E421" s="38"/>
      <c r="F421" s="38"/>
      <c r="G421" s="38"/>
      <c r="H421" s="38"/>
      <c r="I421" s="38"/>
      <c r="J421" s="38"/>
      <c r="K421" s="38"/>
      <c r="L421" s="55"/>
      <c r="M421" s="38"/>
      <c r="N421" s="38"/>
      <c r="O421" s="38"/>
      <c r="P421" s="38"/>
    </row>
    <row r="422" ht="15.75" customHeight="1">
      <c r="D422" s="38"/>
      <c r="E422" s="38"/>
      <c r="F422" s="38"/>
      <c r="G422" s="38"/>
      <c r="H422" s="38"/>
      <c r="I422" s="38"/>
      <c r="J422" s="38"/>
      <c r="K422" s="38"/>
      <c r="L422" s="55"/>
      <c r="M422" s="38"/>
      <c r="N422" s="38"/>
      <c r="O422" s="38"/>
      <c r="P422" s="38"/>
    </row>
    <row r="423" ht="15.75" customHeight="1">
      <c r="D423" s="38"/>
      <c r="E423" s="38"/>
      <c r="F423" s="38"/>
      <c r="G423" s="38"/>
      <c r="H423" s="38"/>
      <c r="I423" s="38"/>
      <c r="J423" s="38"/>
      <c r="K423" s="38"/>
      <c r="L423" s="55"/>
      <c r="M423" s="38"/>
      <c r="N423" s="38"/>
      <c r="O423" s="38"/>
      <c r="P423" s="38"/>
    </row>
    <row r="424" ht="15.75" customHeight="1">
      <c r="D424" s="38"/>
      <c r="E424" s="38"/>
      <c r="F424" s="38"/>
      <c r="G424" s="38"/>
      <c r="H424" s="38"/>
      <c r="I424" s="38"/>
      <c r="J424" s="38"/>
      <c r="K424" s="38"/>
      <c r="L424" s="55"/>
      <c r="M424" s="38"/>
      <c r="N424" s="38"/>
      <c r="O424" s="38"/>
      <c r="P424" s="38"/>
    </row>
    <row r="425" ht="15.75" customHeight="1">
      <c r="D425" s="38"/>
      <c r="E425" s="38"/>
      <c r="F425" s="38"/>
      <c r="G425" s="38"/>
      <c r="H425" s="38"/>
      <c r="I425" s="38"/>
      <c r="J425" s="38"/>
      <c r="K425" s="38"/>
      <c r="L425" s="55"/>
      <c r="M425" s="38"/>
      <c r="N425" s="38"/>
      <c r="O425" s="38"/>
      <c r="P425" s="38"/>
    </row>
    <row r="426" ht="15.75" customHeight="1">
      <c r="D426" s="38"/>
      <c r="E426" s="38"/>
      <c r="F426" s="38"/>
      <c r="G426" s="38"/>
      <c r="H426" s="38"/>
      <c r="I426" s="38"/>
      <c r="J426" s="38"/>
      <c r="K426" s="38"/>
      <c r="L426" s="55"/>
      <c r="M426" s="38"/>
      <c r="N426" s="38"/>
      <c r="O426" s="38"/>
      <c r="P426" s="38"/>
    </row>
    <row r="427" ht="15.75" customHeight="1">
      <c r="D427" s="38"/>
      <c r="E427" s="38"/>
      <c r="F427" s="38"/>
      <c r="G427" s="38"/>
      <c r="H427" s="38"/>
      <c r="I427" s="38"/>
      <c r="J427" s="38"/>
      <c r="K427" s="38"/>
      <c r="L427" s="55"/>
      <c r="M427" s="38"/>
      <c r="N427" s="38"/>
      <c r="O427" s="38"/>
      <c r="P427" s="38"/>
    </row>
    <row r="428" ht="15.75" customHeight="1">
      <c r="D428" s="38"/>
      <c r="E428" s="38"/>
      <c r="F428" s="38"/>
      <c r="G428" s="38"/>
      <c r="H428" s="38"/>
      <c r="I428" s="38"/>
      <c r="J428" s="38"/>
      <c r="K428" s="38"/>
      <c r="L428" s="55"/>
      <c r="M428" s="38"/>
      <c r="N428" s="38"/>
      <c r="O428" s="38"/>
      <c r="P428" s="38"/>
    </row>
    <row r="429" ht="15.75" customHeight="1">
      <c r="D429" s="38"/>
      <c r="E429" s="38"/>
      <c r="F429" s="38"/>
      <c r="G429" s="38"/>
      <c r="H429" s="38"/>
      <c r="I429" s="38"/>
      <c r="J429" s="38"/>
      <c r="K429" s="38"/>
      <c r="L429" s="55"/>
      <c r="M429" s="38"/>
      <c r="N429" s="38"/>
      <c r="O429" s="38"/>
      <c r="P429" s="38"/>
    </row>
    <row r="430" ht="15.75" customHeight="1">
      <c r="D430" s="38"/>
      <c r="E430" s="38"/>
      <c r="F430" s="38"/>
      <c r="G430" s="38"/>
      <c r="H430" s="38"/>
      <c r="I430" s="38"/>
      <c r="J430" s="38"/>
      <c r="K430" s="38"/>
      <c r="L430" s="55"/>
      <c r="M430" s="38"/>
      <c r="N430" s="38"/>
      <c r="O430" s="38"/>
      <c r="P430" s="38"/>
    </row>
    <row r="431" ht="15.75" customHeight="1">
      <c r="D431" s="38"/>
      <c r="E431" s="38"/>
      <c r="F431" s="38"/>
      <c r="G431" s="38"/>
      <c r="H431" s="38"/>
      <c r="I431" s="38"/>
      <c r="J431" s="38"/>
      <c r="K431" s="38"/>
      <c r="L431" s="55"/>
      <c r="M431" s="38"/>
      <c r="N431" s="38"/>
      <c r="O431" s="38"/>
      <c r="P431" s="38"/>
    </row>
    <row r="432" ht="15.75" customHeight="1">
      <c r="D432" s="38"/>
      <c r="E432" s="38"/>
      <c r="F432" s="38"/>
      <c r="G432" s="38"/>
      <c r="H432" s="38"/>
      <c r="I432" s="38"/>
      <c r="J432" s="38"/>
      <c r="K432" s="38"/>
      <c r="L432" s="55"/>
      <c r="M432" s="38"/>
      <c r="N432" s="38"/>
      <c r="O432" s="38"/>
      <c r="P432" s="38"/>
    </row>
    <row r="433" ht="15.75" customHeight="1">
      <c r="D433" s="38"/>
      <c r="E433" s="38"/>
      <c r="F433" s="38"/>
      <c r="G433" s="38"/>
      <c r="H433" s="38"/>
      <c r="I433" s="38"/>
      <c r="J433" s="38"/>
      <c r="K433" s="38"/>
      <c r="L433" s="55"/>
      <c r="M433" s="38"/>
      <c r="N433" s="38"/>
      <c r="O433" s="38"/>
      <c r="P433" s="38"/>
    </row>
    <row r="434" ht="15.75" customHeight="1">
      <c r="D434" s="38"/>
      <c r="E434" s="38"/>
      <c r="F434" s="38"/>
      <c r="G434" s="38"/>
      <c r="H434" s="38"/>
      <c r="I434" s="38"/>
      <c r="J434" s="38"/>
      <c r="K434" s="38"/>
      <c r="L434" s="55"/>
      <c r="M434" s="38"/>
      <c r="N434" s="38"/>
      <c r="O434" s="38"/>
      <c r="P434" s="38"/>
    </row>
    <row r="435" ht="15.75" customHeight="1">
      <c r="D435" s="38"/>
      <c r="E435" s="38"/>
      <c r="F435" s="38"/>
      <c r="G435" s="38"/>
      <c r="H435" s="38"/>
      <c r="I435" s="38"/>
      <c r="J435" s="38"/>
      <c r="K435" s="38"/>
      <c r="L435" s="55"/>
      <c r="M435" s="38"/>
      <c r="N435" s="38"/>
      <c r="O435" s="38"/>
      <c r="P435" s="38"/>
    </row>
    <row r="436" ht="15.75" customHeight="1">
      <c r="D436" s="38"/>
      <c r="E436" s="38"/>
      <c r="F436" s="38"/>
      <c r="G436" s="38"/>
      <c r="H436" s="38"/>
      <c r="I436" s="38"/>
      <c r="J436" s="38"/>
      <c r="K436" s="38"/>
      <c r="L436" s="55"/>
      <c r="M436" s="38"/>
      <c r="N436" s="38"/>
      <c r="O436" s="38"/>
      <c r="P436" s="38"/>
    </row>
    <row r="437" ht="15.75" customHeight="1">
      <c r="D437" s="38"/>
      <c r="E437" s="38"/>
      <c r="F437" s="38"/>
      <c r="G437" s="38"/>
      <c r="H437" s="38"/>
      <c r="I437" s="38"/>
      <c r="J437" s="38"/>
      <c r="K437" s="38"/>
      <c r="L437" s="55"/>
      <c r="M437" s="38"/>
      <c r="N437" s="38"/>
      <c r="O437" s="38"/>
      <c r="P437" s="38"/>
    </row>
    <row r="438" ht="15.75" customHeight="1">
      <c r="D438" s="38"/>
      <c r="E438" s="38"/>
      <c r="F438" s="38"/>
      <c r="G438" s="38"/>
      <c r="H438" s="38"/>
      <c r="I438" s="38"/>
      <c r="J438" s="38"/>
      <c r="K438" s="38"/>
      <c r="L438" s="55"/>
      <c r="M438" s="38"/>
      <c r="N438" s="38"/>
      <c r="O438" s="38"/>
      <c r="P438" s="38"/>
    </row>
    <row r="439" ht="15.75" customHeight="1">
      <c r="D439" s="38"/>
      <c r="E439" s="38"/>
      <c r="F439" s="38"/>
      <c r="G439" s="38"/>
      <c r="H439" s="38"/>
      <c r="I439" s="38"/>
      <c r="J439" s="38"/>
      <c r="K439" s="38"/>
      <c r="L439" s="55"/>
      <c r="M439" s="38"/>
      <c r="N439" s="38"/>
      <c r="O439" s="38"/>
      <c r="P439" s="38"/>
    </row>
    <row r="440" ht="15.75" customHeight="1">
      <c r="D440" s="38"/>
      <c r="E440" s="38"/>
      <c r="F440" s="38"/>
      <c r="G440" s="38"/>
      <c r="H440" s="38"/>
      <c r="I440" s="38"/>
      <c r="J440" s="38"/>
      <c r="K440" s="38"/>
      <c r="L440" s="55"/>
      <c r="M440" s="38"/>
      <c r="N440" s="38"/>
      <c r="O440" s="38"/>
      <c r="P440" s="38"/>
    </row>
    <row r="441" ht="15.75" customHeight="1">
      <c r="D441" s="38"/>
      <c r="E441" s="38"/>
      <c r="F441" s="38"/>
      <c r="G441" s="38"/>
      <c r="H441" s="38"/>
      <c r="I441" s="38"/>
      <c r="J441" s="38"/>
      <c r="K441" s="38"/>
      <c r="L441" s="55"/>
      <c r="M441" s="38"/>
      <c r="N441" s="38"/>
      <c r="O441" s="38"/>
      <c r="P441" s="38"/>
    </row>
    <row r="442" ht="15.75" customHeight="1">
      <c r="D442" s="38"/>
      <c r="E442" s="38"/>
      <c r="F442" s="38"/>
      <c r="G442" s="38"/>
      <c r="H442" s="38"/>
      <c r="I442" s="38"/>
      <c r="J442" s="38"/>
      <c r="K442" s="38"/>
      <c r="L442" s="55"/>
      <c r="M442" s="38"/>
      <c r="N442" s="38"/>
      <c r="O442" s="38"/>
      <c r="P442" s="38"/>
    </row>
    <row r="443" ht="15.75" customHeight="1">
      <c r="D443" s="38"/>
      <c r="E443" s="38"/>
      <c r="F443" s="38"/>
      <c r="G443" s="38"/>
      <c r="H443" s="38"/>
      <c r="I443" s="38"/>
      <c r="J443" s="38"/>
      <c r="K443" s="38"/>
      <c r="L443" s="55"/>
      <c r="M443" s="38"/>
      <c r="N443" s="38"/>
      <c r="O443" s="38"/>
      <c r="P443" s="38"/>
    </row>
    <row r="444" ht="15.75" customHeight="1">
      <c r="D444" s="38"/>
      <c r="E444" s="38"/>
      <c r="F444" s="38"/>
      <c r="G444" s="38"/>
      <c r="H444" s="38"/>
      <c r="I444" s="38"/>
      <c r="J444" s="38"/>
      <c r="K444" s="38"/>
      <c r="L444" s="55"/>
      <c r="M444" s="38"/>
      <c r="N444" s="38"/>
      <c r="O444" s="38"/>
      <c r="P444" s="38"/>
    </row>
    <row r="445" ht="15.75" customHeight="1">
      <c r="D445" s="38"/>
      <c r="E445" s="38"/>
      <c r="F445" s="38"/>
      <c r="G445" s="38"/>
      <c r="H445" s="38"/>
      <c r="I445" s="38"/>
      <c r="J445" s="38"/>
      <c r="K445" s="38"/>
      <c r="L445" s="55"/>
      <c r="M445" s="38"/>
      <c r="N445" s="38"/>
      <c r="O445" s="38"/>
      <c r="P445" s="38"/>
    </row>
    <row r="446" ht="15.75" customHeight="1">
      <c r="D446" s="38"/>
      <c r="E446" s="38"/>
      <c r="F446" s="38"/>
      <c r="G446" s="38"/>
      <c r="H446" s="38"/>
      <c r="I446" s="38"/>
      <c r="J446" s="38"/>
      <c r="K446" s="38"/>
      <c r="L446" s="55"/>
      <c r="M446" s="38"/>
      <c r="N446" s="38"/>
      <c r="O446" s="38"/>
      <c r="P446" s="38"/>
    </row>
    <row r="447" ht="15.75" customHeight="1">
      <c r="D447" s="38"/>
      <c r="E447" s="38"/>
      <c r="F447" s="38"/>
      <c r="G447" s="38"/>
      <c r="H447" s="38"/>
      <c r="I447" s="38"/>
      <c r="J447" s="38"/>
      <c r="K447" s="38"/>
      <c r="L447" s="55"/>
      <c r="M447" s="38"/>
      <c r="N447" s="38"/>
      <c r="O447" s="38"/>
      <c r="P447" s="38"/>
    </row>
    <row r="448" ht="15.75" customHeight="1">
      <c r="D448" s="38"/>
      <c r="E448" s="38"/>
      <c r="F448" s="38"/>
      <c r="G448" s="38"/>
      <c r="H448" s="38"/>
      <c r="I448" s="38"/>
      <c r="J448" s="38"/>
      <c r="K448" s="38"/>
      <c r="L448" s="55"/>
      <c r="M448" s="38"/>
      <c r="N448" s="38"/>
      <c r="O448" s="38"/>
      <c r="P448" s="38"/>
    </row>
    <row r="449" ht="15.75" customHeight="1">
      <c r="D449" s="38"/>
      <c r="E449" s="38"/>
      <c r="F449" s="38"/>
      <c r="G449" s="38"/>
      <c r="H449" s="38"/>
      <c r="I449" s="38"/>
      <c r="J449" s="38"/>
      <c r="K449" s="38"/>
      <c r="L449" s="55"/>
      <c r="M449" s="38"/>
      <c r="N449" s="38"/>
      <c r="O449" s="38"/>
      <c r="P449" s="38"/>
    </row>
    <row r="450" ht="15.75" customHeight="1">
      <c r="D450" s="38"/>
      <c r="E450" s="38"/>
      <c r="F450" s="38"/>
      <c r="G450" s="38"/>
      <c r="H450" s="38"/>
      <c r="I450" s="38"/>
      <c r="J450" s="38"/>
      <c r="K450" s="38"/>
      <c r="L450" s="55"/>
      <c r="M450" s="38"/>
      <c r="N450" s="38"/>
      <c r="O450" s="38"/>
      <c r="P450" s="38"/>
    </row>
    <row r="451" ht="15.75" customHeight="1">
      <c r="D451" s="38"/>
      <c r="E451" s="38"/>
      <c r="F451" s="38"/>
      <c r="G451" s="38"/>
      <c r="H451" s="38"/>
      <c r="I451" s="38"/>
      <c r="J451" s="38"/>
      <c r="K451" s="38"/>
      <c r="L451" s="55"/>
      <c r="M451" s="38"/>
      <c r="N451" s="38"/>
      <c r="O451" s="38"/>
      <c r="P451" s="38"/>
    </row>
    <row r="452" ht="15.75" customHeight="1">
      <c r="D452" s="38"/>
      <c r="E452" s="38"/>
      <c r="F452" s="38"/>
      <c r="G452" s="38"/>
      <c r="H452" s="38"/>
      <c r="I452" s="38"/>
      <c r="J452" s="38"/>
      <c r="K452" s="38"/>
      <c r="L452" s="55"/>
      <c r="M452" s="38"/>
      <c r="N452" s="38"/>
      <c r="O452" s="38"/>
      <c r="P452" s="38"/>
    </row>
    <row r="453" ht="15.75" customHeight="1">
      <c r="D453" s="38"/>
      <c r="E453" s="38"/>
      <c r="F453" s="38"/>
      <c r="G453" s="38"/>
      <c r="H453" s="38"/>
      <c r="I453" s="38"/>
      <c r="J453" s="38"/>
      <c r="K453" s="38"/>
      <c r="L453" s="55"/>
      <c r="M453" s="38"/>
      <c r="N453" s="38"/>
      <c r="O453" s="38"/>
      <c r="P453" s="38"/>
    </row>
    <row r="454" ht="15.75" customHeight="1">
      <c r="D454" s="38"/>
      <c r="E454" s="38"/>
      <c r="F454" s="38"/>
      <c r="G454" s="38"/>
      <c r="H454" s="38"/>
      <c r="I454" s="38"/>
      <c r="J454" s="38"/>
      <c r="K454" s="38"/>
      <c r="L454" s="55"/>
      <c r="M454" s="38"/>
      <c r="N454" s="38"/>
      <c r="O454" s="38"/>
      <c r="P454" s="38"/>
    </row>
    <row r="455" ht="15.75" customHeight="1">
      <c r="D455" s="38"/>
      <c r="E455" s="38"/>
      <c r="F455" s="38"/>
      <c r="G455" s="38"/>
      <c r="H455" s="38"/>
      <c r="I455" s="38"/>
      <c r="J455" s="38"/>
      <c r="K455" s="38"/>
      <c r="L455" s="55"/>
      <c r="M455" s="38"/>
      <c r="N455" s="38"/>
      <c r="O455" s="38"/>
      <c r="P455" s="38"/>
    </row>
    <row r="456" ht="15.75" customHeight="1">
      <c r="D456" s="38"/>
      <c r="E456" s="38"/>
      <c r="F456" s="38"/>
      <c r="G456" s="38"/>
      <c r="H456" s="38"/>
      <c r="I456" s="38"/>
      <c r="J456" s="38"/>
      <c r="K456" s="38"/>
      <c r="L456" s="55"/>
      <c r="M456" s="38"/>
      <c r="N456" s="38"/>
      <c r="O456" s="38"/>
      <c r="P456" s="38"/>
    </row>
    <row r="457" ht="15.75" customHeight="1">
      <c r="D457" s="38"/>
      <c r="E457" s="38"/>
      <c r="F457" s="38"/>
      <c r="G457" s="38"/>
      <c r="H457" s="38"/>
      <c r="I457" s="38"/>
      <c r="J457" s="38"/>
      <c r="K457" s="38"/>
      <c r="L457" s="55"/>
      <c r="M457" s="38"/>
      <c r="N457" s="38"/>
      <c r="O457" s="38"/>
      <c r="P457" s="38"/>
    </row>
    <row r="458" ht="15.75" customHeight="1">
      <c r="D458" s="38"/>
      <c r="E458" s="38"/>
      <c r="F458" s="38"/>
      <c r="G458" s="38"/>
      <c r="H458" s="38"/>
      <c r="I458" s="38"/>
      <c r="J458" s="38"/>
      <c r="K458" s="38"/>
      <c r="L458" s="55"/>
      <c r="M458" s="38"/>
      <c r="N458" s="38"/>
      <c r="O458" s="38"/>
      <c r="P458" s="38"/>
    </row>
    <row r="459" ht="15.75" customHeight="1">
      <c r="D459" s="38"/>
      <c r="E459" s="38"/>
      <c r="F459" s="38"/>
      <c r="G459" s="38"/>
      <c r="H459" s="38"/>
      <c r="I459" s="38"/>
      <c r="J459" s="38"/>
      <c r="K459" s="38"/>
      <c r="L459" s="55"/>
      <c r="M459" s="38"/>
      <c r="N459" s="38"/>
      <c r="O459" s="38"/>
      <c r="P459" s="38"/>
    </row>
    <row r="460" ht="15.75" customHeight="1">
      <c r="D460" s="38"/>
      <c r="E460" s="38"/>
      <c r="F460" s="38"/>
      <c r="G460" s="38"/>
      <c r="H460" s="38"/>
      <c r="I460" s="38"/>
      <c r="J460" s="38"/>
      <c r="K460" s="38"/>
      <c r="L460" s="55"/>
      <c r="M460" s="38"/>
      <c r="N460" s="38"/>
      <c r="O460" s="38"/>
      <c r="P460" s="38"/>
    </row>
    <row r="461" ht="15.75" customHeight="1">
      <c r="D461" s="38"/>
      <c r="E461" s="38"/>
      <c r="F461" s="38"/>
      <c r="G461" s="38"/>
      <c r="H461" s="38"/>
      <c r="I461" s="38"/>
      <c r="J461" s="38"/>
      <c r="K461" s="38"/>
      <c r="L461" s="55"/>
      <c r="M461" s="38"/>
      <c r="N461" s="38"/>
      <c r="O461" s="38"/>
      <c r="P461" s="38"/>
    </row>
    <row r="462" ht="15.75" customHeight="1">
      <c r="D462" s="38"/>
      <c r="E462" s="38"/>
      <c r="F462" s="38"/>
      <c r="G462" s="38"/>
      <c r="H462" s="38"/>
      <c r="I462" s="38"/>
      <c r="J462" s="38"/>
      <c r="K462" s="38"/>
      <c r="L462" s="55"/>
      <c r="M462" s="38"/>
      <c r="N462" s="38"/>
      <c r="O462" s="38"/>
      <c r="P462" s="38"/>
    </row>
    <row r="463" ht="15.75" customHeight="1">
      <c r="D463" s="38"/>
      <c r="E463" s="38"/>
      <c r="F463" s="38"/>
      <c r="G463" s="38"/>
      <c r="H463" s="38"/>
      <c r="I463" s="38"/>
      <c r="J463" s="38"/>
      <c r="K463" s="38"/>
      <c r="L463" s="55"/>
      <c r="M463" s="38"/>
      <c r="N463" s="38"/>
      <c r="O463" s="38"/>
      <c r="P463" s="38"/>
    </row>
    <row r="464" ht="15.75" customHeight="1">
      <c r="D464" s="38"/>
      <c r="E464" s="38"/>
      <c r="F464" s="38"/>
      <c r="G464" s="38"/>
      <c r="H464" s="38"/>
      <c r="I464" s="38"/>
      <c r="J464" s="38"/>
      <c r="K464" s="38"/>
      <c r="L464" s="55"/>
      <c r="M464" s="38"/>
      <c r="N464" s="38"/>
      <c r="O464" s="38"/>
      <c r="P464" s="38"/>
    </row>
    <row r="465" ht="15.75" customHeight="1">
      <c r="D465" s="38"/>
      <c r="E465" s="38"/>
      <c r="F465" s="38"/>
      <c r="G465" s="38"/>
      <c r="H465" s="38"/>
      <c r="I465" s="38"/>
      <c r="J465" s="38"/>
      <c r="K465" s="38"/>
      <c r="L465" s="55"/>
      <c r="M465" s="38"/>
      <c r="N465" s="38"/>
      <c r="O465" s="38"/>
      <c r="P465" s="38"/>
    </row>
    <row r="466" ht="15.75" customHeight="1">
      <c r="D466" s="38"/>
      <c r="E466" s="38"/>
      <c r="F466" s="38"/>
      <c r="G466" s="38"/>
      <c r="H466" s="38"/>
      <c r="I466" s="38"/>
      <c r="J466" s="38"/>
      <c r="K466" s="38"/>
      <c r="L466" s="55"/>
      <c r="M466" s="38"/>
      <c r="N466" s="38"/>
      <c r="O466" s="38"/>
      <c r="P466" s="38"/>
    </row>
    <row r="467" ht="15.75" customHeight="1">
      <c r="D467" s="38"/>
      <c r="E467" s="38"/>
      <c r="F467" s="38"/>
      <c r="G467" s="38"/>
      <c r="H467" s="38"/>
      <c r="I467" s="38"/>
      <c r="J467" s="38"/>
      <c r="K467" s="38"/>
      <c r="L467" s="55"/>
      <c r="M467" s="38"/>
      <c r="N467" s="38"/>
      <c r="O467" s="38"/>
      <c r="P467" s="38"/>
    </row>
    <row r="468" ht="15.75" customHeight="1">
      <c r="D468" s="38"/>
      <c r="E468" s="38"/>
      <c r="F468" s="38"/>
      <c r="G468" s="38"/>
      <c r="H468" s="38"/>
      <c r="I468" s="38"/>
      <c r="J468" s="38"/>
      <c r="K468" s="38"/>
      <c r="L468" s="55"/>
      <c r="M468" s="38"/>
      <c r="N468" s="38"/>
      <c r="O468" s="38"/>
      <c r="P468" s="38"/>
    </row>
    <row r="469" ht="15.75" customHeight="1">
      <c r="D469" s="38"/>
      <c r="E469" s="38"/>
      <c r="F469" s="38"/>
      <c r="G469" s="38"/>
      <c r="H469" s="38"/>
      <c r="I469" s="38"/>
      <c r="J469" s="38"/>
      <c r="K469" s="38"/>
      <c r="L469" s="55"/>
      <c r="M469" s="38"/>
      <c r="N469" s="38"/>
      <c r="O469" s="38"/>
      <c r="P469" s="38"/>
    </row>
    <row r="470" ht="15.75" customHeight="1">
      <c r="D470" s="38"/>
      <c r="E470" s="38"/>
      <c r="F470" s="38"/>
      <c r="G470" s="38"/>
      <c r="H470" s="38"/>
      <c r="I470" s="38"/>
      <c r="J470" s="38"/>
      <c r="K470" s="38"/>
      <c r="L470" s="55"/>
      <c r="M470" s="38"/>
      <c r="N470" s="38"/>
      <c r="O470" s="38"/>
      <c r="P470" s="38"/>
    </row>
    <row r="471" ht="15.75" customHeight="1">
      <c r="D471" s="38"/>
      <c r="E471" s="38"/>
      <c r="F471" s="38"/>
      <c r="G471" s="38"/>
      <c r="H471" s="38"/>
      <c r="I471" s="38"/>
      <c r="J471" s="38"/>
      <c r="K471" s="38"/>
      <c r="L471" s="55"/>
      <c r="M471" s="38"/>
      <c r="N471" s="38"/>
      <c r="O471" s="38"/>
      <c r="P471" s="38"/>
    </row>
    <row r="472" ht="15.75" customHeight="1">
      <c r="D472" s="38"/>
      <c r="E472" s="38"/>
      <c r="F472" s="38"/>
      <c r="G472" s="38"/>
      <c r="H472" s="38"/>
      <c r="I472" s="38"/>
      <c r="J472" s="38"/>
      <c r="K472" s="38"/>
      <c r="L472" s="55"/>
      <c r="M472" s="38"/>
      <c r="N472" s="38"/>
      <c r="O472" s="38"/>
      <c r="P472" s="38"/>
    </row>
    <row r="473" ht="15.75" customHeight="1">
      <c r="D473" s="38"/>
      <c r="E473" s="38"/>
      <c r="F473" s="38"/>
      <c r="G473" s="38"/>
      <c r="H473" s="38"/>
      <c r="I473" s="38"/>
      <c r="J473" s="38"/>
      <c r="K473" s="38"/>
      <c r="L473" s="55"/>
      <c r="M473" s="38"/>
      <c r="N473" s="38"/>
      <c r="O473" s="38"/>
      <c r="P473" s="38"/>
    </row>
    <row r="474" ht="15.75" customHeight="1">
      <c r="D474" s="38"/>
      <c r="E474" s="38"/>
      <c r="F474" s="38"/>
      <c r="G474" s="38"/>
      <c r="H474" s="38"/>
      <c r="I474" s="38"/>
      <c r="J474" s="38"/>
      <c r="K474" s="38"/>
      <c r="L474" s="55"/>
      <c r="M474" s="38"/>
      <c r="N474" s="38"/>
      <c r="O474" s="38"/>
      <c r="P474" s="38"/>
    </row>
    <row r="475" ht="15.75" customHeight="1">
      <c r="D475" s="38"/>
      <c r="E475" s="38"/>
      <c r="F475" s="38"/>
      <c r="G475" s="38"/>
      <c r="H475" s="38"/>
      <c r="I475" s="38"/>
      <c r="J475" s="38"/>
      <c r="K475" s="38"/>
      <c r="L475" s="55"/>
      <c r="M475" s="38"/>
      <c r="N475" s="38"/>
      <c r="O475" s="38"/>
      <c r="P475" s="38"/>
    </row>
    <row r="476" ht="15.75" customHeight="1">
      <c r="D476" s="38"/>
      <c r="E476" s="38"/>
      <c r="F476" s="38"/>
      <c r="G476" s="38"/>
      <c r="H476" s="38"/>
      <c r="I476" s="38"/>
      <c r="J476" s="38"/>
      <c r="K476" s="38"/>
      <c r="L476" s="55"/>
      <c r="M476" s="38"/>
      <c r="N476" s="38"/>
      <c r="O476" s="38"/>
      <c r="P476" s="38"/>
    </row>
    <row r="477" ht="15.75" customHeight="1">
      <c r="D477" s="38"/>
      <c r="E477" s="38"/>
      <c r="F477" s="38"/>
      <c r="G477" s="38"/>
      <c r="H477" s="38"/>
      <c r="I477" s="38"/>
      <c r="J477" s="38"/>
      <c r="K477" s="38"/>
      <c r="L477" s="55"/>
      <c r="M477" s="38"/>
      <c r="N477" s="38"/>
      <c r="O477" s="38"/>
      <c r="P477" s="38"/>
    </row>
    <row r="478" ht="15.75" customHeight="1">
      <c r="D478" s="38"/>
      <c r="E478" s="38"/>
      <c r="F478" s="38"/>
      <c r="G478" s="38"/>
      <c r="H478" s="38"/>
      <c r="I478" s="38"/>
      <c r="J478" s="38"/>
      <c r="K478" s="38"/>
      <c r="L478" s="55"/>
      <c r="M478" s="38"/>
      <c r="N478" s="38"/>
      <c r="O478" s="38"/>
      <c r="P478" s="38"/>
    </row>
    <row r="479" ht="15.75" customHeight="1">
      <c r="D479" s="38"/>
      <c r="E479" s="38"/>
      <c r="F479" s="38"/>
      <c r="G479" s="38"/>
      <c r="H479" s="38"/>
      <c r="I479" s="38"/>
      <c r="J479" s="38"/>
      <c r="K479" s="38"/>
      <c r="L479" s="55"/>
      <c r="M479" s="38"/>
      <c r="N479" s="38"/>
      <c r="O479" s="38"/>
      <c r="P479" s="38"/>
    </row>
    <row r="480" ht="15.75" customHeight="1">
      <c r="D480" s="38"/>
      <c r="E480" s="38"/>
      <c r="F480" s="38"/>
      <c r="G480" s="38"/>
      <c r="H480" s="38"/>
      <c r="I480" s="38"/>
      <c r="J480" s="38"/>
      <c r="K480" s="38"/>
      <c r="L480" s="55"/>
      <c r="M480" s="38"/>
      <c r="N480" s="38"/>
      <c r="O480" s="38"/>
      <c r="P480" s="38"/>
    </row>
    <row r="481" ht="15.75" customHeight="1">
      <c r="D481" s="38"/>
      <c r="E481" s="38"/>
      <c r="F481" s="38"/>
      <c r="G481" s="38"/>
      <c r="H481" s="38"/>
      <c r="I481" s="38"/>
      <c r="J481" s="38"/>
      <c r="K481" s="38"/>
      <c r="L481" s="55"/>
      <c r="M481" s="38"/>
      <c r="N481" s="38"/>
      <c r="O481" s="38"/>
      <c r="P481" s="38"/>
    </row>
    <row r="482" ht="15.75" customHeight="1">
      <c r="D482" s="38"/>
      <c r="E482" s="38"/>
      <c r="F482" s="38"/>
      <c r="G482" s="38"/>
      <c r="H482" s="38"/>
      <c r="I482" s="38"/>
      <c r="J482" s="38"/>
      <c r="K482" s="38"/>
      <c r="L482" s="55"/>
      <c r="M482" s="38"/>
      <c r="N482" s="38"/>
      <c r="O482" s="38"/>
      <c r="P482" s="38"/>
    </row>
    <row r="483" ht="15.75" customHeight="1">
      <c r="D483" s="38"/>
      <c r="E483" s="38"/>
      <c r="F483" s="38"/>
      <c r="G483" s="38"/>
      <c r="H483" s="38"/>
      <c r="I483" s="38"/>
      <c r="J483" s="38"/>
      <c r="K483" s="38"/>
      <c r="L483" s="55"/>
      <c r="M483" s="38"/>
      <c r="N483" s="38"/>
      <c r="O483" s="38"/>
      <c r="P483" s="38"/>
    </row>
    <row r="484" ht="15.75" customHeight="1">
      <c r="D484" s="38"/>
      <c r="E484" s="38"/>
      <c r="F484" s="38"/>
      <c r="G484" s="38"/>
      <c r="H484" s="38"/>
      <c r="I484" s="38"/>
      <c r="J484" s="38"/>
      <c r="K484" s="38"/>
      <c r="L484" s="55"/>
      <c r="M484" s="38"/>
      <c r="N484" s="38"/>
      <c r="O484" s="38"/>
      <c r="P484" s="38"/>
    </row>
    <row r="485" ht="15.75" customHeight="1">
      <c r="D485" s="38"/>
      <c r="E485" s="38"/>
      <c r="F485" s="38"/>
      <c r="G485" s="38"/>
      <c r="H485" s="38"/>
      <c r="I485" s="38"/>
      <c r="J485" s="38"/>
      <c r="K485" s="38"/>
      <c r="L485" s="55"/>
      <c r="M485" s="38"/>
      <c r="N485" s="38"/>
      <c r="O485" s="38"/>
      <c r="P485" s="38"/>
    </row>
    <row r="486" ht="15.75" customHeight="1">
      <c r="D486" s="38"/>
      <c r="E486" s="38"/>
      <c r="F486" s="38"/>
      <c r="G486" s="38"/>
      <c r="H486" s="38"/>
      <c r="I486" s="38"/>
      <c r="J486" s="38"/>
      <c r="K486" s="38"/>
      <c r="L486" s="55"/>
      <c r="M486" s="38"/>
      <c r="N486" s="38"/>
      <c r="O486" s="38"/>
      <c r="P486" s="38"/>
    </row>
    <row r="487" ht="15.75" customHeight="1">
      <c r="D487" s="38"/>
      <c r="E487" s="38"/>
      <c r="F487" s="38"/>
      <c r="G487" s="38"/>
      <c r="H487" s="38"/>
      <c r="I487" s="38"/>
      <c r="J487" s="38"/>
      <c r="K487" s="38"/>
      <c r="L487" s="55"/>
      <c r="M487" s="38"/>
      <c r="N487" s="38"/>
      <c r="O487" s="38"/>
      <c r="P487" s="38"/>
    </row>
    <row r="488" ht="15.75" customHeight="1">
      <c r="D488" s="38"/>
      <c r="E488" s="38"/>
      <c r="F488" s="38"/>
      <c r="G488" s="38"/>
      <c r="H488" s="38"/>
      <c r="I488" s="38"/>
      <c r="J488" s="38"/>
      <c r="K488" s="38"/>
      <c r="L488" s="55"/>
      <c r="M488" s="38"/>
      <c r="N488" s="38"/>
      <c r="O488" s="38"/>
      <c r="P488" s="38"/>
    </row>
    <row r="489" ht="15.75" customHeight="1">
      <c r="D489" s="38"/>
      <c r="E489" s="38"/>
      <c r="F489" s="38"/>
      <c r="G489" s="38"/>
      <c r="H489" s="38"/>
      <c r="I489" s="38"/>
      <c r="J489" s="38"/>
      <c r="K489" s="38"/>
      <c r="L489" s="55"/>
      <c r="M489" s="38"/>
      <c r="N489" s="38"/>
      <c r="O489" s="38"/>
      <c r="P489" s="38"/>
    </row>
    <row r="490" ht="15.75" customHeight="1">
      <c r="D490" s="38"/>
      <c r="E490" s="38"/>
      <c r="F490" s="38"/>
      <c r="G490" s="38"/>
      <c r="H490" s="38"/>
      <c r="I490" s="38"/>
      <c r="J490" s="38"/>
      <c r="K490" s="38"/>
      <c r="L490" s="55"/>
      <c r="M490" s="38"/>
      <c r="N490" s="38"/>
      <c r="O490" s="38"/>
      <c r="P490" s="38"/>
    </row>
    <row r="491" ht="15.75" customHeight="1">
      <c r="D491" s="38"/>
      <c r="E491" s="38"/>
      <c r="F491" s="38"/>
      <c r="G491" s="38"/>
      <c r="H491" s="38"/>
      <c r="I491" s="38"/>
      <c r="J491" s="38"/>
      <c r="K491" s="38"/>
      <c r="L491" s="55"/>
      <c r="M491" s="38"/>
      <c r="N491" s="38"/>
      <c r="O491" s="38"/>
      <c r="P491" s="38"/>
    </row>
    <row r="492" ht="15.75" customHeight="1">
      <c r="D492" s="38"/>
      <c r="E492" s="38"/>
      <c r="F492" s="38"/>
      <c r="G492" s="38"/>
      <c r="H492" s="38"/>
      <c r="I492" s="38"/>
      <c r="J492" s="38"/>
      <c r="K492" s="38"/>
      <c r="L492" s="55"/>
      <c r="M492" s="38"/>
      <c r="N492" s="38"/>
      <c r="O492" s="38"/>
      <c r="P492" s="38"/>
    </row>
    <row r="493" ht="15.75" customHeight="1">
      <c r="D493" s="38"/>
      <c r="E493" s="38"/>
      <c r="F493" s="38"/>
      <c r="G493" s="38"/>
      <c r="H493" s="38"/>
      <c r="I493" s="38"/>
      <c r="J493" s="38"/>
      <c r="K493" s="38"/>
      <c r="L493" s="55"/>
      <c r="M493" s="38"/>
      <c r="N493" s="38"/>
      <c r="O493" s="38"/>
      <c r="P493" s="38"/>
    </row>
    <row r="494" ht="15.75" customHeight="1">
      <c r="D494" s="38"/>
      <c r="E494" s="38"/>
      <c r="F494" s="38"/>
      <c r="G494" s="38"/>
      <c r="H494" s="38"/>
      <c r="I494" s="38"/>
      <c r="J494" s="38"/>
      <c r="K494" s="38"/>
      <c r="L494" s="55"/>
      <c r="M494" s="38"/>
      <c r="N494" s="38"/>
      <c r="O494" s="38"/>
      <c r="P494" s="38"/>
    </row>
    <row r="495" ht="15.75" customHeight="1">
      <c r="D495" s="38"/>
      <c r="E495" s="38"/>
      <c r="F495" s="38"/>
      <c r="G495" s="38"/>
      <c r="H495" s="38"/>
      <c r="I495" s="38"/>
      <c r="J495" s="38"/>
      <c r="K495" s="38"/>
      <c r="L495" s="55"/>
      <c r="M495" s="38"/>
      <c r="N495" s="38"/>
      <c r="O495" s="38"/>
      <c r="P495" s="38"/>
    </row>
    <row r="496" ht="15.75" customHeight="1">
      <c r="D496" s="38"/>
      <c r="E496" s="38"/>
      <c r="F496" s="38"/>
      <c r="G496" s="38"/>
      <c r="H496" s="38"/>
      <c r="I496" s="38"/>
      <c r="J496" s="38"/>
      <c r="K496" s="38"/>
      <c r="L496" s="55"/>
      <c r="M496" s="38"/>
      <c r="N496" s="38"/>
      <c r="O496" s="38"/>
      <c r="P496" s="38"/>
    </row>
    <row r="497" ht="15.75" customHeight="1">
      <c r="D497" s="38"/>
      <c r="E497" s="38"/>
      <c r="F497" s="38"/>
      <c r="G497" s="38"/>
      <c r="H497" s="38"/>
      <c r="I497" s="38"/>
      <c r="J497" s="38"/>
      <c r="K497" s="38"/>
      <c r="L497" s="55"/>
      <c r="M497" s="38"/>
      <c r="N497" s="38"/>
      <c r="O497" s="38"/>
      <c r="P497" s="38"/>
    </row>
    <row r="498" ht="15.75" customHeight="1">
      <c r="D498" s="38"/>
      <c r="E498" s="38"/>
      <c r="F498" s="38"/>
      <c r="G498" s="38"/>
      <c r="H498" s="38"/>
      <c r="I498" s="38"/>
      <c r="J498" s="38"/>
      <c r="K498" s="38"/>
      <c r="L498" s="55"/>
      <c r="M498" s="38"/>
      <c r="N498" s="38"/>
      <c r="O498" s="38"/>
      <c r="P498" s="38"/>
    </row>
    <row r="499" ht="15.75" customHeight="1">
      <c r="D499" s="38"/>
      <c r="E499" s="38"/>
      <c r="F499" s="38"/>
      <c r="G499" s="38"/>
      <c r="H499" s="38"/>
      <c r="I499" s="38"/>
      <c r="J499" s="38"/>
      <c r="K499" s="38"/>
      <c r="L499" s="55"/>
      <c r="M499" s="38"/>
      <c r="N499" s="38"/>
      <c r="O499" s="38"/>
      <c r="P499" s="38"/>
    </row>
    <row r="500" ht="15.75" customHeight="1">
      <c r="D500" s="38"/>
      <c r="E500" s="38"/>
      <c r="F500" s="38"/>
      <c r="G500" s="38"/>
      <c r="H500" s="38"/>
      <c r="I500" s="38"/>
      <c r="J500" s="38"/>
      <c r="K500" s="38"/>
      <c r="L500" s="55"/>
      <c r="M500" s="38"/>
      <c r="N500" s="38"/>
      <c r="O500" s="38"/>
      <c r="P500" s="38"/>
    </row>
    <row r="501" ht="15.75" customHeight="1">
      <c r="D501" s="38"/>
      <c r="E501" s="38"/>
      <c r="F501" s="38"/>
      <c r="G501" s="38"/>
      <c r="H501" s="38"/>
      <c r="I501" s="38"/>
      <c r="J501" s="38"/>
      <c r="K501" s="38"/>
      <c r="L501" s="55"/>
      <c r="M501" s="38"/>
      <c r="N501" s="38"/>
      <c r="O501" s="38"/>
      <c r="P501" s="38"/>
    </row>
    <row r="502" ht="15.75" customHeight="1">
      <c r="D502" s="38"/>
      <c r="E502" s="38"/>
      <c r="F502" s="38"/>
      <c r="G502" s="38"/>
      <c r="H502" s="38"/>
      <c r="I502" s="38"/>
      <c r="J502" s="38"/>
      <c r="K502" s="38"/>
      <c r="L502" s="55"/>
      <c r="M502" s="38"/>
      <c r="N502" s="38"/>
      <c r="O502" s="38"/>
      <c r="P502" s="38"/>
    </row>
    <row r="503" ht="15.75" customHeight="1">
      <c r="D503" s="38"/>
      <c r="E503" s="38"/>
      <c r="F503" s="38"/>
      <c r="G503" s="38"/>
      <c r="H503" s="38"/>
      <c r="I503" s="38"/>
      <c r="J503" s="38"/>
      <c r="K503" s="38"/>
      <c r="L503" s="55"/>
      <c r="M503" s="38"/>
      <c r="N503" s="38"/>
      <c r="O503" s="38"/>
      <c r="P503" s="38"/>
    </row>
    <row r="504" ht="15.75" customHeight="1">
      <c r="D504" s="38"/>
      <c r="E504" s="38"/>
      <c r="F504" s="38"/>
      <c r="G504" s="38"/>
      <c r="H504" s="38"/>
      <c r="I504" s="38"/>
      <c r="J504" s="38"/>
      <c r="K504" s="38"/>
      <c r="L504" s="55"/>
      <c r="M504" s="38"/>
      <c r="N504" s="38"/>
      <c r="O504" s="38"/>
      <c r="P504" s="38"/>
    </row>
    <row r="505" ht="15.75" customHeight="1">
      <c r="D505" s="38"/>
      <c r="E505" s="38"/>
      <c r="F505" s="38"/>
      <c r="G505" s="38"/>
      <c r="H505" s="38"/>
      <c r="I505" s="38"/>
      <c r="J505" s="38"/>
      <c r="K505" s="38"/>
      <c r="L505" s="55"/>
      <c r="M505" s="38"/>
      <c r="N505" s="38"/>
      <c r="O505" s="38"/>
      <c r="P505" s="38"/>
    </row>
    <row r="506" ht="15.75" customHeight="1">
      <c r="D506" s="38"/>
      <c r="E506" s="38"/>
      <c r="F506" s="38"/>
      <c r="G506" s="38"/>
      <c r="H506" s="38"/>
      <c r="I506" s="38"/>
      <c r="J506" s="38"/>
      <c r="K506" s="38"/>
      <c r="L506" s="55"/>
      <c r="M506" s="38"/>
      <c r="N506" s="38"/>
      <c r="O506" s="38"/>
      <c r="P506" s="38"/>
    </row>
    <row r="507" ht="15.75" customHeight="1">
      <c r="D507" s="38"/>
      <c r="E507" s="38"/>
      <c r="F507" s="38"/>
      <c r="G507" s="38"/>
      <c r="H507" s="38"/>
      <c r="I507" s="38"/>
      <c r="J507" s="38"/>
      <c r="K507" s="38"/>
      <c r="L507" s="55"/>
      <c r="M507" s="38"/>
      <c r="N507" s="38"/>
      <c r="O507" s="38"/>
      <c r="P507" s="38"/>
    </row>
    <row r="508" ht="15.75" customHeight="1">
      <c r="D508" s="38"/>
      <c r="E508" s="38"/>
      <c r="F508" s="38"/>
      <c r="G508" s="38"/>
      <c r="H508" s="38"/>
      <c r="I508" s="38"/>
      <c r="J508" s="38"/>
      <c r="K508" s="38"/>
      <c r="L508" s="55"/>
      <c r="M508" s="38"/>
      <c r="N508" s="38"/>
      <c r="O508" s="38"/>
      <c r="P508" s="38"/>
    </row>
    <row r="509" ht="15.75" customHeight="1">
      <c r="D509" s="38"/>
      <c r="E509" s="38"/>
      <c r="F509" s="38"/>
      <c r="G509" s="38"/>
      <c r="H509" s="38"/>
      <c r="I509" s="38"/>
      <c r="J509" s="38"/>
      <c r="K509" s="38"/>
      <c r="L509" s="55"/>
      <c r="M509" s="38"/>
      <c r="N509" s="38"/>
      <c r="O509" s="38"/>
      <c r="P509" s="38"/>
    </row>
    <row r="510" ht="15.75" customHeight="1">
      <c r="D510" s="38"/>
      <c r="E510" s="38"/>
      <c r="F510" s="38"/>
      <c r="G510" s="38"/>
      <c r="H510" s="38"/>
      <c r="I510" s="38"/>
      <c r="J510" s="38"/>
      <c r="K510" s="38"/>
      <c r="L510" s="55"/>
      <c r="M510" s="38"/>
      <c r="N510" s="38"/>
      <c r="O510" s="38"/>
      <c r="P510" s="38"/>
    </row>
    <row r="511" ht="15.75" customHeight="1">
      <c r="D511" s="38"/>
      <c r="E511" s="38"/>
      <c r="F511" s="38"/>
      <c r="G511" s="38"/>
      <c r="H511" s="38"/>
      <c r="I511" s="38"/>
      <c r="J511" s="38"/>
      <c r="K511" s="38"/>
      <c r="L511" s="55"/>
      <c r="M511" s="38"/>
      <c r="N511" s="38"/>
      <c r="O511" s="38"/>
      <c r="P511" s="38"/>
    </row>
    <row r="512" ht="15.75" customHeight="1">
      <c r="D512" s="38"/>
      <c r="E512" s="38"/>
      <c r="F512" s="38"/>
      <c r="G512" s="38"/>
      <c r="H512" s="38"/>
      <c r="I512" s="38"/>
      <c r="J512" s="38"/>
      <c r="K512" s="38"/>
      <c r="L512" s="55"/>
      <c r="M512" s="38"/>
      <c r="N512" s="38"/>
      <c r="O512" s="38"/>
      <c r="P512" s="38"/>
    </row>
    <row r="513" ht="15.75" customHeight="1">
      <c r="D513" s="38"/>
      <c r="E513" s="38"/>
      <c r="F513" s="38"/>
      <c r="G513" s="38"/>
      <c r="H513" s="38"/>
      <c r="I513" s="38"/>
      <c r="J513" s="38"/>
      <c r="K513" s="38"/>
      <c r="L513" s="55"/>
      <c r="M513" s="38"/>
      <c r="N513" s="38"/>
      <c r="O513" s="38"/>
      <c r="P513" s="38"/>
    </row>
    <row r="514" ht="15.75" customHeight="1">
      <c r="D514" s="38"/>
      <c r="E514" s="38"/>
      <c r="F514" s="38"/>
      <c r="G514" s="38"/>
      <c r="H514" s="38"/>
      <c r="I514" s="38"/>
      <c r="J514" s="38"/>
      <c r="K514" s="38"/>
      <c r="L514" s="55"/>
      <c r="M514" s="38"/>
      <c r="N514" s="38"/>
      <c r="O514" s="38"/>
      <c r="P514" s="38"/>
    </row>
    <row r="515" ht="15.75" customHeight="1">
      <c r="D515" s="38"/>
      <c r="E515" s="38"/>
      <c r="F515" s="38"/>
      <c r="G515" s="38"/>
      <c r="H515" s="38"/>
      <c r="I515" s="38"/>
      <c r="J515" s="38"/>
      <c r="K515" s="38"/>
      <c r="L515" s="55"/>
      <c r="M515" s="38"/>
      <c r="N515" s="38"/>
      <c r="O515" s="38"/>
      <c r="P515" s="38"/>
    </row>
    <row r="516" ht="15.75" customHeight="1">
      <c r="D516" s="38"/>
      <c r="E516" s="38"/>
      <c r="F516" s="38"/>
      <c r="G516" s="38"/>
      <c r="H516" s="38"/>
      <c r="I516" s="38"/>
      <c r="J516" s="38"/>
      <c r="K516" s="38"/>
      <c r="L516" s="55"/>
      <c r="M516" s="38"/>
      <c r="N516" s="38"/>
      <c r="O516" s="38"/>
      <c r="P516" s="38"/>
    </row>
    <row r="517" ht="15.75" customHeight="1">
      <c r="D517" s="38"/>
      <c r="E517" s="38"/>
      <c r="F517" s="38"/>
      <c r="G517" s="38"/>
      <c r="H517" s="38"/>
      <c r="I517" s="38"/>
      <c r="J517" s="38"/>
      <c r="K517" s="38"/>
      <c r="L517" s="55"/>
      <c r="M517" s="38"/>
      <c r="N517" s="38"/>
      <c r="O517" s="38"/>
      <c r="P517" s="38"/>
    </row>
    <row r="518" ht="15.75" customHeight="1">
      <c r="D518" s="38"/>
      <c r="E518" s="38"/>
      <c r="F518" s="38"/>
      <c r="G518" s="38"/>
      <c r="H518" s="38"/>
      <c r="I518" s="38"/>
      <c r="J518" s="38"/>
      <c r="K518" s="38"/>
      <c r="L518" s="55"/>
      <c r="M518" s="38"/>
      <c r="N518" s="38"/>
      <c r="O518" s="38"/>
      <c r="P518" s="38"/>
    </row>
    <row r="519" ht="15.75" customHeight="1">
      <c r="D519" s="38"/>
      <c r="E519" s="38"/>
      <c r="F519" s="38"/>
      <c r="G519" s="38"/>
      <c r="H519" s="38"/>
      <c r="I519" s="38"/>
      <c r="J519" s="38"/>
      <c r="K519" s="38"/>
      <c r="L519" s="55"/>
      <c r="M519" s="38"/>
      <c r="N519" s="38"/>
      <c r="O519" s="38"/>
      <c r="P519" s="38"/>
    </row>
    <row r="520" ht="15.75" customHeight="1">
      <c r="D520" s="38"/>
      <c r="E520" s="38"/>
      <c r="F520" s="38"/>
      <c r="G520" s="38"/>
      <c r="H520" s="38"/>
      <c r="I520" s="38"/>
      <c r="J520" s="38"/>
      <c r="K520" s="38"/>
      <c r="L520" s="55"/>
      <c r="M520" s="38"/>
      <c r="N520" s="38"/>
      <c r="O520" s="38"/>
      <c r="P520" s="38"/>
    </row>
    <row r="521" ht="15.75" customHeight="1">
      <c r="D521" s="38"/>
      <c r="E521" s="38"/>
      <c r="F521" s="38"/>
      <c r="G521" s="38"/>
      <c r="H521" s="38"/>
      <c r="I521" s="38"/>
      <c r="J521" s="38"/>
      <c r="K521" s="38"/>
      <c r="L521" s="55"/>
      <c r="M521" s="38"/>
      <c r="N521" s="38"/>
      <c r="O521" s="38"/>
      <c r="P521" s="38"/>
    </row>
    <row r="522" ht="15.75" customHeight="1">
      <c r="D522" s="38"/>
      <c r="E522" s="38"/>
      <c r="F522" s="38"/>
      <c r="G522" s="38"/>
      <c r="H522" s="38"/>
      <c r="I522" s="38"/>
      <c r="J522" s="38"/>
      <c r="K522" s="38"/>
      <c r="L522" s="55"/>
      <c r="M522" s="38"/>
      <c r="N522" s="38"/>
      <c r="O522" s="38"/>
      <c r="P522" s="38"/>
    </row>
    <row r="523" ht="15.75" customHeight="1">
      <c r="D523" s="38"/>
      <c r="E523" s="38"/>
      <c r="F523" s="38"/>
      <c r="G523" s="38"/>
      <c r="H523" s="38"/>
      <c r="I523" s="38"/>
      <c r="J523" s="38"/>
      <c r="K523" s="38"/>
      <c r="L523" s="55"/>
      <c r="M523" s="38"/>
      <c r="N523" s="38"/>
      <c r="O523" s="38"/>
      <c r="P523" s="38"/>
    </row>
    <row r="524" ht="15.75" customHeight="1">
      <c r="D524" s="38"/>
      <c r="E524" s="38"/>
      <c r="F524" s="38"/>
      <c r="G524" s="38"/>
      <c r="H524" s="38"/>
      <c r="I524" s="38"/>
      <c r="J524" s="38"/>
      <c r="K524" s="38"/>
      <c r="L524" s="55"/>
      <c r="M524" s="38"/>
      <c r="N524" s="38"/>
      <c r="O524" s="38"/>
      <c r="P524" s="38"/>
    </row>
    <row r="525" ht="15.75" customHeight="1">
      <c r="D525" s="38"/>
      <c r="E525" s="38"/>
      <c r="F525" s="38"/>
      <c r="G525" s="38"/>
      <c r="H525" s="38"/>
      <c r="I525" s="38"/>
      <c r="J525" s="38"/>
      <c r="K525" s="38"/>
      <c r="L525" s="55"/>
      <c r="M525" s="38"/>
      <c r="N525" s="38"/>
      <c r="O525" s="38"/>
      <c r="P525" s="38"/>
    </row>
    <row r="526" ht="15.75" customHeight="1">
      <c r="D526" s="38"/>
      <c r="E526" s="38"/>
      <c r="F526" s="38"/>
      <c r="G526" s="38"/>
      <c r="H526" s="38"/>
      <c r="I526" s="38"/>
      <c r="J526" s="38"/>
      <c r="K526" s="38"/>
      <c r="L526" s="55"/>
      <c r="M526" s="38"/>
      <c r="N526" s="38"/>
      <c r="O526" s="38"/>
      <c r="P526" s="38"/>
    </row>
    <row r="527" ht="15.75" customHeight="1">
      <c r="D527" s="38"/>
      <c r="E527" s="38"/>
      <c r="F527" s="38"/>
      <c r="G527" s="38"/>
      <c r="H527" s="38"/>
      <c r="I527" s="38"/>
      <c r="J527" s="38"/>
      <c r="K527" s="38"/>
      <c r="L527" s="55"/>
      <c r="M527" s="38"/>
      <c r="N527" s="38"/>
      <c r="O527" s="38"/>
      <c r="P527" s="38"/>
    </row>
    <row r="528" ht="15.75" customHeight="1">
      <c r="D528" s="38"/>
      <c r="E528" s="38"/>
      <c r="F528" s="38"/>
      <c r="G528" s="38"/>
      <c r="H528" s="38"/>
      <c r="I528" s="38"/>
      <c r="J528" s="38"/>
      <c r="K528" s="38"/>
      <c r="L528" s="55"/>
      <c r="M528" s="38"/>
      <c r="N528" s="38"/>
      <c r="O528" s="38"/>
      <c r="P528" s="38"/>
    </row>
    <row r="529" ht="15.75" customHeight="1">
      <c r="D529" s="38"/>
      <c r="E529" s="38"/>
      <c r="F529" s="38"/>
      <c r="G529" s="38"/>
      <c r="H529" s="38"/>
      <c r="I529" s="38"/>
      <c r="J529" s="38"/>
      <c r="K529" s="38"/>
      <c r="L529" s="55"/>
      <c r="M529" s="38"/>
      <c r="N529" s="38"/>
      <c r="O529" s="38"/>
      <c r="P529" s="38"/>
    </row>
    <row r="530" ht="15.75" customHeight="1">
      <c r="D530" s="38"/>
      <c r="E530" s="38"/>
      <c r="F530" s="38"/>
      <c r="G530" s="38"/>
      <c r="H530" s="38"/>
      <c r="I530" s="38"/>
      <c r="J530" s="38"/>
      <c r="K530" s="38"/>
      <c r="L530" s="55"/>
      <c r="M530" s="38"/>
      <c r="N530" s="38"/>
      <c r="O530" s="38"/>
      <c r="P530" s="38"/>
    </row>
    <row r="531" ht="15.75" customHeight="1">
      <c r="D531" s="38"/>
      <c r="E531" s="38"/>
      <c r="F531" s="38"/>
      <c r="G531" s="38"/>
      <c r="H531" s="38"/>
      <c r="I531" s="38"/>
      <c r="J531" s="38"/>
      <c r="K531" s="38"/>
      <c r="L531" s="55"/>
      <c r="M531" s="38"/>
      <c r="N531" s="38"/>
      <c r="O531" s="38"/>
      <c r="P531" s="38"/>
    </row>
    <row r="532" ht="15.75" customHeight="1">
      <c r="D532" s="38"/>
      <c r="E532" s="38"/>
      <c r="F532" s="38"/>
      <c r="G532" s="38"/>
      <c r="H532" s="38"/>
      <c r="I532" s="38"/>
      <c r="J532" s="38"/>
      <c r="K532" s="38"/>
      <c r="L532" s="55"/>
      <c r="M532" s="38"/>
      <c r="N532" s="38"/>
      <c r="O532" s="38"/>
      <c r="P532" s="38"/>
    </row>
    <row r="533" ht="15.75" customHeight="1">
      <c r="D533" s="38"/>
      <c r="E533" s="38"/>
      <c r="F533" s="38"/>
      <c r="G533" s="38"/>
      <c r="H533" s="38"/>
      <c r="I533" s="38"/>
      <c r="J533" s="38"/>
      <c r="K533" s="38"/>
      <c r="L533" s="55"/>
      <c r="M533" s="38"/>
      <c r="N533" s="38"/>
      <c r="O533" s="38"/>
      <c r="P533" s="38"/>
    </row>
    <row r="534" ht="15.75" customHeight="1">
      <c r="D534" s="38"/>
      <c r="E534" s="38"/>
      <c r="F534" s="38"/>
      <c r="G534" s="38"/>
      <c r="H534" s="38"/>
      <c r="I534" s="38"/>
      <c r="J534" s="38"/>
      <c r="K534" s="38"/>
      <c r="L534" s="55"/>
      <c r="M534" s="38"/>
      <c r="N534" s="38"/>
      <c r="O534" s="38"/>
      <c r="P534" s="38"/>
    </row>
    <row r="535" ht="15.75" customHeight="1">
      <c r="D535" s="38"/>
      <c r="E535" s="38"/>
      <c r="F535" s="38"/>
      <c r="G535" s="38"/>
      <c r="H535" s="38"/>
      <c r="I535" s="38"/>
      <c r="J535" s="38"/>
      <c r="K535" s="38"/>
      <c r="L535" s="55"/>
      <c r="M535" s="38"/>
      <c r="N535" s="38"/>
      <c r="O535" s="38"/>
      <c r="P535" s="38"/>
    </row>
    <row r="536" ht="15.75" customHeight="1">
      <c r="D536" s="38"/>
      <c r="E536" s="38"/>
      <c r="F536" s="38"/>
      <c r="G536" s="38"/>
      <c r="H536" s="38"/>
      <c r="I536" s="38"/>
      <c r="J536" s="38"/>
      <c r="K536" s="38"/>
      <c r="L536" s="55"/>
      <c r="M536" s="38"/>
      <c r="N536" s="38"/>
      <c r="O536" s="38"/>
      <c r="P536" s="38"/>
    </row>
    <row r="537" ht="15.75" customHeight="1">
      <c r="D537" s="38"/>
      <c r="E537" s="38"/>
      <c r="F537" s="38"/>
      <c r="G537" s="38"/>
      <c r="H537" s="38"/>
      <c r="I537" s="38"/>
      <c r="J537" s="38"/>
      <c r="K537" s="38"/>
      <c r="L537" s="55"/>
      <c r="M537" s="38"/>
      <c r="N537" s="38"/>
      <c r="O537" s="38"/>
      <c r="P537" s="38"/>
    </row>
    <row r="538" ht="15.75" customHeight="1">
      <c r="D538" s="38"/>
      <c r="E538" s="38"/>
      <c r="F538" s="38"/>
      <c r="G538" s="38"/>
      <c r="H538" s="38"/>
      <c r="I538" s="38"/>
      <c r="J538" s="38"/>
      <c r="K538" s="38"/>
      <c r="L538" s="55"/>
      <c r="M538" s="38"/>
      <c r="N538" s="38"/>
      <c r="O538" s="38"/>
      <c r="P538" s="38"/>
    </row>
    <row r="539" ht="15.75" customHeight="1">
      <c r="D539" s="38"/>
      <c r="E539" s="38"/>
      <c r="F539" s="38"/>
      <c r="G539" s="38"/>
      <c r="H539" s="38"/>
      <c r="I539" s="38"/>
      <c r="J539" s="38"/>
      <c r="K539" s="38"/>
      <c r="L539" s="55"/>
      <c r="M539" s="38"/>
      <c r="N539" s="38"/>
      <c r="O539" s="38"/>
      <c r="P539" s="38"/>
    </row>
    <row r="540" ht="15.75" customHeight="1">
      <c r="D540" s="38"/>
      <c r="E540" s="38"/>
      <c r="F540" s="38"/>
      <c r="G540" s="38"/>
      <c r="H540" s="38"/>
      <c r="I540" s="38"/>
      <c r="J540" s="38"/>
      <c r="K540" s="38"/>
      <c r="L540" s="55"/>
      <c r="M540" s="38"/>
      <c r="N540" s="38"/>
      <c r="O540" s="38"/>
      <c r="P540" s="38"/>
    </row>
    <row r="541" ht="15.75" customHeight="1">
      <c r="D541" s="38"/>
      <c r="E541" s="38"/>
      <c r="F541" s="38"/>
      <c r="G541" s="38"/>
      <c r="H541" s="38"/>
      <c r="I541" s="38"/>
      <c r="J541" s="38"/>
      <c r="K541" s="38"/>
      <c r="L541" s="55"/>
      <c r="M541" s="38"/>
      <c r="N541" s="38"/>
      <c r="O541" s="38"/>
      <c r="P541" s="38"/>
    </row>
    <row r="542" ht="15.75" customHeight="1">
      <c r="D542" s="38"/>
      <c r="E542" s="38"/>
      <c r="F542" s="38"/>
      <c r="G542" s="38"/>
      <c r="H542" s="38"/>
      <c r="I542" s="38"/>
      <c r="J542" s="38"/>
      <c r="K542" s="38"/>
      <c r="L542" s="55"/>
      <c r="M542" s="38"/>
      <c r="N542" s="38"/>
      <c r="O542" s="38"/>
      <c r="P542" s="38"/>
    </row>
    <row r="543" ht="15.75" customHeight="1">
      <c r="D543" s="38"/>
      <c r="E543" s="38"/>
      <c r="F543" s="38"/>
      <c r="G543" s="38"/>
      <c r="H543" s="38"/>
      <c r="I543" s="38"/>
      <c r="J543" s="38"/>
      <c r="K543" s="38"/>
      <c r="L543" s="55"/>
      <c r="M543" s="38"/>
      <c r="N543" s="38"/>
      <c r="O543" s="38"/>
      <c r="P543" s="38"/>
    </row>
    <row r="544" ht="15.75" customHeight="1">
      <c r="D544" s="38"/>
      <c r="E544" s="38"/>
      <c r="F544" s="38"/>
      <c r="G544" s="38"/>
      <c r="H544" s="38"/>
      <c r="I544" s="38"/>
      <c r="J544" s="38"/>
      <c r="K544" s="38"/>
      <c r="L544" s="55"/>
      <c r="M544" s="38"/>
      <c r="N544" s="38"/>
      <c r="O544" s="38"/>
      <c r="P544" s="38"/>
    </row>
    <row r="545" ht="15.75" customHeight="1">
      <c r="D545" s="38"/>
      <c r="E545" s="38"/>
      <c r="F545" s="38"/>
      <c r="G545" s="38"/>
      <c r="H545" s="38"/>
      <c r="I545" s="38"/>
      <c r="J545" s="38"/>
      <c r="K545" s="38"/>
      <c r="L545" s="55"/>
      <c r="M545" s="38"/>
      <c r="N545" s="38"/>
      <c r="O545" s="38"/>
      <c r="P545" s="38"/>
    </row>
    <row r="546" ht="15.75" customHeight="1">
      <c r="D546" s="38"/>
      <c r="E546" s="38"/>
      <c r="F546" s="38"/>
      <c r="G546" s="38"/>
      <c r="H546" s="38"/>
      <c r="I546" s="38"/>
      <c r="J546" s="38"/>
      <c r="K546" s="38"/>
      <c r="L546" s="55"/>
      <c r="M546" s="38"/>
      <c r="N546" s="38"/>
      <c r="O546" s="38"/>
      <c r="P546" s="38"/>
    </row>
    <row r="547" ht="15.75" customHeight="1">
      <c r="D547" s="38"/>
      <c r="E547" s="38"/>
      <c r="F547" s="38"/>
      <c r="G547" s="38"/>
      <c r="H547" s="38"/>
      <c r="I547" s="38"/>
      <c r="J547" s="38"/>
      <c r="K547" s="38"/>
      <c r="L547" s="55"/>
      <c r="M547" s="38"/>
      <c r="N547" s="38"/>
      <c r="O547" s="38"/>
      <c r="P547" s="38"/>
    </row>
    <row r="548" ht="15.75" customHeight="1">
      <c r="D548" s="38"/>
      <c r="E548" s="38"/>
      <c r="F548" s="38"/>
      <c r="G548" s="38"/>
      <c r="H548" s="38"/>
      <c r="I548" s="38"/>
      <c r="J548" s="38"/>
      <c r="K548" s="38"/>
      <c r="L548" s="55"/>
      <c r="M548" s="38"/>
      <c r="N548" s="38"/>
      <c r="O548" s="38"/>
      <c r="P548" s="38"/>
    </row>
    <row r="549" ht="15.75" customHeight="1">
      <c r="D549" s="38"/>
      <c r="E549" s="38"/>
      <c r="F549" s="38"/>
      <c r="G549" s="38"/>
      <c r="H549" s="38"/>
      <c r="I549" s="38"/>
      <c r="J549" s="38"/>
      <c r="K549" s="38"/>
      <c r="L549" s="55"/>
      <c r="M549" s="38"/>
      <c r="N549" s="38"/>
      <c r="O549" s="38"/>
      <c r="P549" s="38"/>
    </row>
    <row r="550" ht="15.75" customHeight="1">
      <c r="D550" s="38"/>
      <c r="E550" s="38"/>
      <c r="F550" s="38"/>
      <c r="G550" s="38"/>
      <c r="H550" s="38"/>
      <c r="I550" s="38"/>
      <c r="J550" s="38"/>
      <c r="K550" s="38"/>
      <c r="L550" s="55"/>
      <c r="M550" s="38"/>
      <c r="N550" s="38"/>
      <c r="O550" s="38"/>
      <c r="P550" s="38"/>
    </row>
    <row r="551" ht="15.75" customHeight="1">
      <c r="D551" s="38"/>
      <c r="E551" s="38"/>
      <c r="F551" s="38"/>
      <c r="G551" s="38"/>
      <c r="H551" s="38"/>
      <c r="I551" s="38"/>
      <c r="J551" s="38"/>
      <c r="K551" s="38"/>
      <c r="L551" s="55"/>
      <c r="M551" s="38"/>
      <c r="N551" s="38"/>
      <c r="O551" s="38"/>
      <c r="P551" s="38"/>
    </row>
    <row r="552" ht="15.75" customHeight="1">
      <c r="D552" s="38"/>
      <c r="E552" s="38"/>
      <c r="F552" s="38"/>
      <c r="G552" s="38"/>
      <c r="H552" s="38"/>
      <c r="I552" s="38"/>
      <c r="J552" s="38"/>
      <c r="K552" s="38"/>
      <c r="L552" s="55"/>
      <c r="M552" s="38"/>
      <c r="N552" s="38"/>
      <c r="O552" s="38"/>
      <c r="P552" s="38"/>
    </row>
    <row r="553" ht="15.75" customHeight="1">
      <c r="D553" s="38"/>
      <c r="E553" s="38"/>
      <c r="F553" s="38"/>
      <c r="G553" s="38"/>
      <c r="H553" s="38"/>
      <c r="I553" s="38"/>
      <c r="J553" s="38"/>
      <c r="K553" s="38"/>
      <c r="L553" s="55"/>
      <c r="M553" s="38"/>
      <c r="N553" s="38"/>
      <c r="O553" s="38"/>
      <c r="P553" s="38"/>
    </row>
    <row r="554" ht="15.75" customHeight="1">
      <c r="D554" s="38"/>
      <c r="E554" s="38"/>
      <c r="F554" s="38"/>
      <c r="G554" s="38"/>
      <c r="H554" s="38"/>
      <c r="I554" s="38"/>
      <c r="J554" s="38"/>
      <c r="K554" s="38"/>
      <c r="L554" s="55"/>
      <c r="M554" s="38"/>
      <c r="N554" s="38"/>
      <c r="O554" s="38"/>
      <c r="P554" s="38"/>
    </row>
    <row r="555" ht="15.75" customHeight="1">
      <c r="D555" s="38"/>
      <c r="E555" s="38"/>
      <c r="F555" s="38"/>
      <c r="G555" s="38"/>
      <c r="H555" s="38"/>
      <c r="I555" s="38"/>
      <c r="J555" s="38"/>
      <c r="K555" s="38"/>
      <c r="L555" s="55"/>
      <c r="M555" s="38"/>
      <c r="N555" s="38"/>
      <c r="O555" s="38"/>
      <c r="P555" s="38"/>
    </row>
    <row r="556" ht="15.75" customHeight="1">
      <c r="D556" s="38"/>
      <c r="E556" s="38"/>
      <c r="F556" s="38"/>
      <c r="G556" s="38"/>
      <c r="H556" s="38"/>
      <c r="I556" s="38"/>
      <c r="J556" s="38"/>
      <c r="K556" s="38"/>
      <c r="L556" s="55"/>
      <c r="M556" s="38"/>
      <c r="N556" s="38"/>
      <c r="O556" s="38"/>
      <c r="P556" s="38"/>
    </row>
    <row r="557" ht="15.75" customHeight="1">
      <c r="D557" s="38"/>
      <c r="E557" s="38"/>
      <c r="F557" s="38"/>
      <c r="G557" s="38"/>
      <c r="H557" s="38"/>
      <c r="I557" s="38"/>
      <c r="J557" s="38"/>
      <c r="K557" s="38"/>
      <c r="L557" s="55"/>
      <c r="M557" s="38"/>
      <c r="N557" s="38"/>
      <c r="O557" s="38"/>
      <c r="P557" s="38"/>
    </row>
    <row r="558" ht="15.75" customHeight="1">
      <c r="D558" s="38"/>
      <c r="E558" s="38"/>
      <c r="F558" s="38"/>
      <c r="G558" s="38"/>
      <c r="H558" s="38"/>
      <c r="I558" s="38"/>
      <c r="J558" s="38"/>
      <c r="K558" s="38"/>
      <c r="L558" s="55"/>
      <c r="M558" s="38"/>
      <c r="N558" s="38"/>
      <c r="O558" s="38"/>
      <c r="P558" s="38"/>
    </row>
    <row r="559" ht="15.75" customHeight="1">
      <c r="D559" s="38"/>
      <c r="E559" s="38"/>
      <c r="F559" s="38"/>
      <c r="G559" s="38"/>
      <c r="H559" s="38"/>
      <c r="I559" s="38"/>
      <c r="J559" s="38"/>
      <c r="K559" s="38"/>
      <c r="L559" s="55"/>
      <c r="M559" s="38"/>
      <c r="N559" s="38"/>
      <c r="O559" s="38"/>
      <c r="P559" s="38"/>
    </row>
    <row r="560" ht="15.75" customHeight="1">
      <c r="D560" s="38"/>
      <c r="E560" s="38"/>
      <c r="F560" s="38"/>
      <c r="G560" s="38"/>
      <c r="H560" s="38"/>
      <c r="I560" s="38"/>
      <c r="J560" s="38"/>
      <c r="K560" s="38"/>
      <c r="L560" s="55"/>
      <c r="M560" s="38"/>
      <c r="N560" s="38"/>
      <c r="O560" s="38"/>
      <c r="P560" s="38"/>
    </row>
    <row r="561" ht="15.75" customHeight="1">
      <c r="D561" s="38"/>
      <c r="E561" s="38"/>
      <c r="F561" s="38"/>
      <c r="G561" s="38"/>
      <c r="H561" s="38"/>
      <c r="I561" s="38"/>
      <c r="J561" s="38"/>
      <c r="K561" s="38"/>
      <c r="L561" s="55"/>
      <c r="M561" s="38"/>
      <c r="N561" s="38"/>
      <c r="O561" s="38"/>
      <c r="P561" s="38"/>
    </row>
    <row r="562" ht="15.75" customHeight="1">
      <c r="D562" s="38"/>
      <c r="E562" s="38"/>
      <c r="F562" s="38"/>
      <c r="G562" s="38"/>
      <c r="H562" s="38"/>
      <c r="I562" s="38"/>
      <c r="J562" s="38"/>
      <c r="K562" s="38"/>
      <c r="L562" s="55"/>
      <c r="M562" s="38"/>
      <c r="N562" s="38"/>
      <c r="O562" s="38"/>
      <c r="P562" s="38"/>
    </row>
    <row r="563" ht="15.75" customHeight="1">
      <c r="D563" s="38"/>
      <c r="E563" s="38"/>
      <c r="F563" s="38"/>
      <c r="G563" s="38"/>
      <c r="H563" s="38"/>
      <c r="I563" s="38"/>
      <c r="J563" s="38"/>
      <c r="K563" s="38"/>
      <c r="L563" s="55"/>
      <c r="M563" s="38"/>
      <c r="N563" s="38"/>
      <c r="O563" s="38"/>
      <c r="P563" s="38"/>
    </row>
    <row r="564" ht="15.75" customHeight="1">
      <c r="D564" s="38"/>
      <c r="E564" s="38"/>
      <c r="F564" s="38"/>
      <c r="G564" s="38"/>
      <c r="H564" s="38"/>
      <c r="I564" s="38"/>
      <c r="J564" s="38"/>
      <c r="K564" s="38"/>
      <c r="L564" s="55"/>
      <c r="M564" s="38"/>
      <c r="N564" s="38"/>
      <c r="O564" s="38"/>
      <c r="P564" s="38"/>
    </row>
    <row r="565" ht="15.75" customHeight="1">
      <c r="D565" s="38"/>
      <c r="E565" s="38"/>
      <c r="F565" s="38"/>
      <c r="G565" s="38"/>
      <c r="H565" s="38"/>
      <c r="I565" s="38"/>
      <c r="J565" s="38"/>
      <c r="K565" s="38"/>
      <c r="L565" s="55"/>
      <c r="M565" s="38"/>
      <c r="N565" s="38"/>
      <c r="O565" s="38"/>
      <c r="P565" s="38"/>
    </row>
    <row r="566" ht="15.75" customHeight="1">
      <c r="D566" s="38"/>
      <c r="E566" s="38"/>
      <c r="F566" s="38"/>
      <c r="G566" s="38"/>
      <c r="H566" s="38"/>
      <c r="I566" s="38"/>
      <c r="J566" s="38"/>
      <c r="K566" s="38"/>
      <c r="L566" s="55"/>
      <c r="M566" s="38"/>
      <c r="N566" s="38"/>
      <c r="O566" s="38"/>
      <c r="P566" s="38"/>
    </row>
    <row r="567" ht="15.75" customHeight="1">
      <c r="D567" s="38"/>
      <c r="E567" s="38"/>
      <c r="F567" s="38"/>
      <c r="G567" s="38"/>
      <c r="H567" s="38"/>
      <c r="I567" s="38"/>
      <c r="J567" s="38"/>
      <c r="K567" s="38"/>
      <c r="L567" s="55"/>
      <c r="M567" s="38"/>
      <c r="N567" s="38"/>
      <c r="O567" s="38"/>
      <c r="P567" s="38"/>
    </row>
    <row r="568" ht="15.75" customHeight="1">
      <c r="D568" s="38"/>
      <c r="E568" s="38"/>
      <c r="F568" s="38"/>
      <c r="G568" s="38"/>
      <c r="H568" s="38"/>
      <c r="I568" s="38"/>
      <c r="J568" s="38"/>
      <c r="K568" s="38"/>
      <c r="L568" s="55"/>
      <c r="M568" s="38"/>
      <c r="N568" s="38"/>
      <c r="O568" s="38"/>
      <c r="P568" s="38"/>
    </row>
    <row r="569" ht="15.75" customHeight="1">
      <c r="D569" s="38"/>
      <c r="E569" s="38"/>
      <c r="F569" s="38"/>
      <c r="G569" s="38"/>
      <c r="H569" s="38"/>
      <c r="I569" s="38"/>
      <c r="J569" s="38"/>
      <c r="K569" s="38"/>
      <c r="L569" s="55"/>
      <c r="M569" s="38"/>
      <c r="N569" s="38"/>
      <c r="O569" s="38"/>
      <c r="P569" s="38"/>
    </row>
    <row r="570" ht="15.75" customHeight="1">
      <c r="D570" s="38"/>
      <c r="E570" s="38"/>
      <c r="F570" s="38"/>
      <c r="G570" s="38"/>
      <c r="H570" s="38"/>
      <c r="I570" s="38"/>
      <c r="J570" s="38"/>
      <c r="K570" s="38"/>
      <c r="L570" s="55"/>
      <c r="M570" s="38"/>
      <c r="N570" s="38"/>
      <c r="O570" s="38"/>
      <c r="P570" s="38"/>
    </row>
    <row r="571" ht="15.75" customHeight="1">
      <c r="D571" s="38"/>
      <c r="E571" s="38"/>
      <c r="F571" s="38"/>
      <c r="G571" s="38"/>
      <c r="H571" s="38"/>
      <c r="I571" s="38"/>
      <c r="J571" s="38"/>
      <c r="K571" s="38"/>
      <c r="L571" s="55"/>
      <c r="M571" s="38"/>
      <c r="N571" s="38"/>
      <c r="O571" s="38"/>
      <c r="P571" s="38"/>
    </row>
    <row r="572" ht="15.75" customHeight="1">
      <c r="D572" s="38"/>
      <c r="E572" s="38"/>
      <c r="F572" s="38"/>
      <c r="G572" s="38"/>
      <c r="H572" s="38"/>
      <c r="I572" s="38"/>
      <c r="J572" s="38"/>
      <c r="K572" s="38"/>
      <c r="L572" s="55"/>
      <c r="M572" s="38"/>
      <c r="N572" s="38"/>
      <c r="O572" s="38"/>
      <c r="P572" s="38"/>
    </row>
    <row r="573" ht="15.75" customHeight="1">
      <c r="D573" s="38"/>
      <c r="E573" s="38"/>
      <c r="F573" s="38"/>
      <c r="G573" s="38"/>
      <c r="H573" s="38"/>
      <c r="I573" s="38"/>
      <c r="J573" s="38"/>
      <c r="K573" s="38"/>
      <c r="L573" s="55"/>
      <c r="M573" s="38"/>
      <c r="N573" s="38"/>
      <c r="O573" s="38"/>
      <c r="P573" s="38"/>
    </row>
    <row r="574" ht="15.75" customHeight="1">
      <c r="D574" s="38"/>
      <c r="E574" s="38"/>
      <c r="F574" s="38"/>
      <c r="G574" s="38"/>
      <c r="H574" s="38"/>
      <c r="I574" s="38"/>
      <c r="J574" s="38"/>
      <c r="K574" s="38"/>
      <c r="L574" s="55"/>
      <c r="M574" s="38"/>
      <c r="N574" s="38"/>
      <c r="O574" s="38"/>
      <c r="P574" s="38"/>
    </row>
    <row r="575" ht="15.75" customHeight="1">
      <c r="D575" s="38"/>
      <c r="E575" s="38"/>
      <c r="F575" s="38"/>
      <c r="G575" s="38"/>
      <c r="H575" s="38"/>
      <c r="I575" s="38"/>
      <c r="J575" s="38"/>
      <c r="K575" s="38"/>
      <c r="L575" s="55"/>
      <c r="M575" s="38"/>
      <c r="N575" s="38"/>
      <c r="O575" s="38"/>
      <c r="P575" s="38"/>
    </row>
    <row r="576" ht="15.75" customHeight="1">
      <c r="D576" s="38"/>
      <c r="E576" s="38"/>
      <c r="F576" s="38"/>
      <c r="G576" s="38"/>
      <c r="H576" s="38"/>
      <c r="I576" s="38"/>
      <c r="J576" s="38"/>
      <c r="K576" s="38"/>
      <c r="L576" s="55"/>
      <c r="M576" s="38"/>
      <c r="N576" s="38"/>
      <c r="O576" s="38"/>
      <c r="P576" s="38"/>
    </row>
    <row r="577" ht="15.75" customHeight="1">
      <c r="D577" s="38"/>
      <c r="E577" s="38"/>
      <c r="F577" s="38"/>
      <c r="G577" s="38"/>
      <c r="H577" s="38"/>
      <c r="I577" s="38"/>
      <c r="J577" s="38"/>
      <c r="K577" s="38"/>
      <c r="L577" s="55"/>
      <c r="M577" s="38"/>
      <c r="N577" s="38"/>
      <c r="O577" s="38"/>
      <c r="P577" s="38"/>
    </row>
    <row r="578" ht="15.75" customHeight="1">
      <c r="D578" s="38"/>
      <c r="E578" s="38"/>
      <c r="F578" s="38"/>
      <c r="G578" s="38"/>
      <c r="H578" s="38"/>
      <c r="I578" s="38"/>
      <c r="J578" s="38"/>
      <c r="K578" s="38"/>
      <c r="L578" s="55"/>
      <c r="M578" s="38"/>
      <c r="N578" s="38"/>
      <c r="O578" s="38"/>
      <c r="P578" s="38"/>
    </row>
    <row r="579" ht="15.75" customHeight="1">
      <c r="D579" s="38"/>
      <c r="E579" s="38"/>
      <c r="F579" s="38"/>
      <c r="G579" s="38"/>
      <c r="H579" s="38"/>
      <c r="I579" s="38"/>
      <c r="J579" s="38"/>
      <c r="K579" s="38"/>
      <c r="L579" s="55"/>
      <c r="M579" s="38"/>
      <c r="N579" s="38"/>
      <c r="O579" s="38"/>
      <c r="P579" s="38"/>
    </row>
    <row r="580" ht="15.75" customHeight="1">
      <c r="D580" s="38"/>
      <c r="E580" s="38"/>
      <c r="F580" s="38"/>
      <c r="G580" s="38"/>
      <c r="H580" s="38"/>
      <c r="I580" s="38"/>
      <c r="J580" s="38"/>
      <c r="K580" s="38"/>
      <c r="L580" s="55"/>
      <c r="M580" s="38"/>
      <c r="N580" s="38"/>
      <c r="O580" s="38"/>
      <c r="P580" s="38"/>
    </row>
    <row r="581" ht="15.75" customHeight="1">
      <c r="D581" s="38"/>
      <c r="E581" s="38"/>
      <c r="F581" s="38"/>
      <c r="G581" s="38"/>
      <c r="H581" s="38"/>
      <c r="I581" s="38"/>
      <c r="J581" s="38"/>
      <c r="K581" s="38"/>
      <c r="L581" s="55"/>
      <c r="M581" s="38"/>
      <c r="N581" s="38"/>
      <c r="O581" s="38"/>
      <c r="P581" s="38"/>
    </row>
    <row r="582" ht="15.75" customHeight="1">
      <c r="D582" s="38"/>
      <c r="E582" s="38"/>
      <c r="F582" s="38"/>
      <c r="G582" s="38"/>
      <c r="H582" s="38"/>
      <c r="I582" s="38"/>
      <c r="J582" s="38"/>
      <c r="K582" s="38"/>
      <c r="L582" s="55"/>
      <c r="M582" s="38"/>
      <c r="N582" s="38"/>
      <c r="O582" s="38"/>
      <c r="P582" s="38"/>
    </row>
    <row r="583" ht="15.75" customHeight="1">
      <c r="D583" s="38"/>
      <c r="E583" s="38"/>
      <c r="F583" s="38"/>
      <c r="G583" s="38"/>
      <c r="H583" s="38"/>
      <c r="I583" s="38"/>
      <c r="J583" s="38"/>
      <c r="K583" s="38"/>
      <c r="L583" s="55"/>
      <c r="M583" s="38"/>
      <c r="N583" s="38"/>
      <c r="O583" s="38"/>
      <c r="P583" s="38"/>
    </row>
    <row r="584" ht="15.75" customHeight="1">
      <c r="D584" s="38"/>
      <c r="E584" s="38"/>
      <c r="F584" s="38"/>
      <c r="G584" s="38"/>
      <c r="H584" s="38"/>
      <c r="I584" s="38"/>
      <c r="J584" s="38"/>
      <c r="K584" s="38"/>
      <c r="L584" s="55"/>
      <c r="M584" s="38"/>
      <c r="N584" s="38"/>
      <c r="O584" s="38"/>
      <c r="P584" s="38"/>
    </row>
    <row r="585" ht="15.75" customHeight="1">
      <c r="D585" s="38"/>
      <c r="E585" s="38"/>
      <c r="F585" s="38"/>
      <c r="G585" s="38"/>
      <c r="H585" s="38"/>
      <c r="I585" s="38"/>
      <c r="J585" s="38"/>
      <c r="K585" s="38"/>
      <c r="L585" s="55"/>
      <c r="M585" s="38"/>
      <c r="N585" s="38"/>
      <c r="O585" s="38"/>
      <c r="P585" s="38"/>
    </row>
    <row r="586" ht="15.75" customHeight="1">
      <c r="D586" s="38"/>
      <c r="E586" s="38"/>
      <c r="F586" s="38"/>
      <c r="G586" s="38"/>
      <c r="H586" s="38"/>
      <c r="I586" s="38"/>
      <c r="J586" s="38"/>
      <c r="K586" s="38"/>
      <c r="L586" s="55"/>
      <c r="M586" s="38"/>
      <c r="N586" s="38"/>
      <c r="O586" s="38"/>
      <c r="P586" s="38"/>
    </row>
    <row r="587" ht="15.75" customHeight="1">
      <c r="D587" s="38"/>
      <c r="E587" s="38"/>
      <c r="F587" s="38"/>
      <c r="G587" s="38"/>
      <c r="H587" s="38"/>
      <c r="I587" s="38"/>
      <c r="J587" s="38"/>
      <c r="K587" s="38"/>
      <c r="L587" s="55"/>
      <c r="M587" s="38"/>
      <c r="N587" s="38"/>
      <c r="O587" s="38"/>
      <c r="P587" s="38"/>
    </row>
    <row r="588" ht="15.75" customHeight="1">
      <c r="D588" s="38"/>
      <c r="E588" s="38"/>
      <c r="F588" s="38"/>
      <c r="G588" s="38"/>
      <c r="H588" s="38"/>
      <c r="I588" s="38"/>
      <c r="J588" s="38"/>
      <c r="K588" s="38"/>
      <c r="L588" s="55"/>
      <c r="M588" s="38"/>
      <c r="N588" s="38"/>
      <c r="O588" s="38"/>
      <c r="P588" s="38"/>
    </row>
    <row r="589" ht="15.75" customHeight="1">
      <c r="D589" s="38"/>
      <c r="E589" s="38"/>
      <c r="F589" s="38"/>
      <c r="G589" s="38"/>
      <c r="H589" s="38"/>
      <c r="I589" s="38"/>
      <c r="J589" s="38"/>
      <c r="K589" s="38"/>
      <c r="L589" s="55"/>
      <c r="M589" s="38"/>
      <c r="N589" s="38"/>
      <c r="O589" s="38"/>
      <c r="P589" s="38"/>
    </row>
    <row r="590" ht="15.75" customHeight="1">
      <c r="D590" s="38"/>
      <c r="E590" s="38"/>
      <c r="F590" s="38"/>
      <c r="G590" s="38"/>
      <c r="H590" s="38"/>
      <c r="I590" s="38"/>
      <c r="J590" s="38"/>
      <c r="K590" s="38"/>
      <c r="L590" s="55"/>
      <c r="M590" s="38"/>
      <c r="N590" s="38"/>
      <c r="O590" s="38"/>
      <c r="P590" s="38"/>
    </row>
    <row r="591" ht="15.75" customHeight="1">
      <c r="D591" s="38"/>
      <c r="E591" s="38"/>
      <c r="F591" s="38"/>
      <c r="G591" s="38"/>
      <c r="H591" s="38"/>
      <c r="I591" s="38"/>
      <c r="J591" s="38"/>
      <c r="K591" s="38"/>
      <c r="L591" s="55"/>
      <c r="M591" s="38"/>
      <c r="N591" s="38"/>
      <c r="O591" s="38"/>
      <c r="P591" s="38"/>
    </row>
    <row r="592" ht="15.75" customHeight="1">
      <c r="D592" s="38"/>
      <c r="E592" s="38"/>
      <c r="F592" s="38"/>
      <c r="G592" s="38"/>
      <c r="H592" s="38"/>
      <c r="I592" s="38"/>
      <c r="J592" s="38"/>
      <c r="K592" s="38"/>
      <c r="L592" s="55"/>
      <c r="M592" s="38"/>
      <c r="N592" s="38"/>
      <c r="O592" s="38"/>
      <c r="P592" s="38"/>
    </row>
    <row r="593" ht="15.75" customHeight="1">
      <c r="D593" s="38"/>
      <c r="E593" s="38"/>
      <c r="F593" s="38"/>
      <c r="G593" s="38"/>
      <c r="H593" s="38"/>
      <c r="I593" s="38"/>
      <c r="J593" s="38"/>
      <c r="K593" s="38"/>
      <c r="L593" s="55"/>
      <c r="M593" s="38"/>
      <c r="N593" s="38"/>
      <c r="O593" s="38"/>
      <c r="P593" s="38"/>
    </row>
    <row r="594" ht="15.75" customHeight="1">
      <c r="D594" s="38"/>
      <c r="E594" s="38"/>
      <c r="F594" s="38"/>
      <c r="G594" s="38"/>
      <c r="H594" s="38"/>
      <c r="I594" s="38"/>
      <c r="J594" s="38"/>
      <c r="K594" s="38"/>
      <c r="L594" s="55"/>
      <c r="M594" s="38"/>
      <c r="N594" s="38"/>
      <c r="O594" s="38"/>
      <c r="P594" s="38"/>
    </row>
    <row r="595" ht="15.75" customHeight="1">
      <c r="D595" s="38"/>
      <c r="E595" s="38"/>
      <c r="F595" s="38"/>
      <c r="G595" s="38"/>
      <c r="H595" s="38"/>
      <c r="I595" s="38"/>
      <c r="J595" s="38"/>
      <c r="K595" s="38"/>
      <c r="L595" s="55"/>
      <c r="M595" s="38"/>
      <c r="N595" s="38"/>
      <c r="O595" s="38"/>
      <c r="P595" s="38"/>
    </row>
    <row r="596" ht="15.75" customHeight="1">
      <c r="D596" s="38"/>
      <c r="E596" s="38"/>
      <c r="F596" s="38"/>
      <c r="G596" s="38"/>
      <c r="H596" s="38"/>
      <c r="I596" s="38"/>
      <c r="J596" s="38"/>
      <c r="K596" s="38"/>
      <c r="L596" s="55"/>
      <c r="M596" s="38"/>
      <c r="N596" s="38"/>
      <c r="O596" s="38"/>
      <c r="P596" s="38"/>
    </row>
    <row r="597" ht="15.75" customHeight="1">
      <c r="D597" s="38"/>
      <c r="E597" s="38"/>
      <c r="F597" s="38"/>
      <c r="G597" s="38"/>
      <c r="H597" s="38"/>
      <c r="I597" s="38"/>
      <c r="J597" s="38"/>
      <c r="K597" s="38"/>
      <c r="L597" s="55"/>
      <c r="M597" s="38"/>
      <c r="N597" s="38"/>
      <c r="O597" s="38"/>
      <c r="P597" s="38"/>
    </row>
    <row r="598" ht="15.75" customHeight="1">
      <c r="D598" s="38"/>
      <c r="E598" s="38"/>
      <c r="F598" s="38"/>
      <c r="G598" s="38"/>
      <c r="H598" s="38"/>
      <c r="I598" s="38"/>
      <c r="J598" s="38"/>
      <c r="K598" s="38"/>
      <c r="L598" s="55"/>
      <c r="M598" s="38"/>
      <c r="N598" s="38"/>
      <c r="O598" s="38"/>
      <c r="P598" s="38"/>
    </row>
    <row r="599" ht="15.75" customHeight="1">
      <c r="D599" s="38"/>
      <c r="E599" s="38"/>
      <c r="F599" s="38"/>
      <c r="G599" s="38"/>
      <c r="H599" s="38"/>
      <c r="I599" s="38"/>
      <c r="J599" s="38"/>
      <c r="K599" s="38"/>
      <c r="L599" s="55"/>
      <c r="M599" s="38"/>
      <c r="N599" s="38"/>
      <c r="O599" s="38"/>
      <c r="P599" s="38"/>
    </row>
    <row r="600" ht="15.75" customHeight="1">
      <c r="D600" s="38"/>
      <c r="E600" s="38"/>
      <c r="F600" s="38"/>
      <c r="G600" s="38"/>
      <c r="H600" s="38"/>
      <c r="I600" s="38"/>
      <c r="J600" s="38"/>
      <c r="K600" s="38"/>
      <c r="L600" s="55"/>
      <c r="M600" s="38"/>
      <c r="N600" s="38"/>
      <c r="O600" s="38"/>
      <c r="P600" s="38"/>
    </row>
    <row r="601" ht="15.75" customHeight="1">
      <c r="D601" s="38"/>
      <c r="E601" s="38"/>
      <c r="F601" s="38"/>
      <c r="G601" s="38"/>
      <c r="H601" s="38"/>
      <c r="I601" s="38"/>
      <c r="J601" s="38"/>
      <c r="K601" s="38"/>
      <c r="L601" s="55"/>
      <c r="M601" s="38"/>
      <c r="N601" s="38"/>
      <c r="O601" s="38"/>
      <c r="P601" s="38"/>
    </row>
    <row r="602" ht="15.75" customHeight="1">
      <c r="D602" s="38"/>
      <c r="E602" s="38"/>
      <c r="F602" s="38"/>
      <c r="G602" s="38"/>
      <c r="H602" s="38"/>
      <c r="I602" s="38"/>
      <c r="J602" s="38"/>
      <c r="K602" s="38"/>
      <c r="L602" s="55"/>
      <c r="M602" s="38"/>
      <c r="N602" s="38"/>
      <c r="O602" s="38"/>
      <c r="P602" s="38"/>
    </row>
    <row r="603" ht="15.75" customHeight="1">
      <c r="D603" s="38"/>
      <c r="E603" s="38"/>
      <c r="F603" s="38"/>
      <c r="G603" s="38"/>
      <c r="H603" s="38"/>
      <c r="I603" s="38"/>
      <c r="J603" s="38"/>
      <c r="K603" s="38"/>
      <c r="L603" s="55"/>
      <c r="M603" s="38"/>
      <c r="N603" s="38"/>
      <c r="O603" s="38"/>
      <c r="P603" s="38"/>
    </row>
    <row r="604" ht="15.75" customHeight="1">
      <c r="D604" s="38"/>
      <c r="E604" s="38"/>
      <c r="F604" s="38"/>
      <c r="G604" s="38"/>
      <c r="H604" s="38"/>
      <c r="I604" s="38"/>
      <c r="J604" s="38"/>
      <c r="K604" s="38"/>
      <c r="L604" s="55"/>
      <c r="M604" s="38"/>
      <c r="N604" s="38"/>
      <c r="O604" s="38"/>
      <c r="P604" s="38"/>
    </row>
    <row r="605" ht="15.75" customHeight="1">
      <c r="D605" s="38"/>
      <c r="E605" s="38"/>
      <c r="F605" s="38"/>
      <c r="G605" s="38"/>
      <c r="H605" s="38"/>
      <c r="I605" s="38"/>
      <c r="J605" s="38"/>
      <c r="K605" s="38"/>
      <c r="L605" s="55"/>
      <c r="M605" s="38"/>
      <c r="N605" s="38"/>
      <c r="O605" s="38"/>
      <c r="P605" s="38"/>
    </row>
    <row r="606" ht="15.75" customHeight="1">
      <c r="D606" s="38"/>
      <c r="E606" s="38"/>
      <c r="F606" s="38"/>
      <c r="G606" s="38"/>
      <c r="H606" s="38"/>
      <c r="I606" s="38"/>
      <c r="J606" s="38"/>
      <c r="K606" s="38"/>
      <c r="L606" s="55"/>
      <c r="M606" s="38"/>
      <c r="N606" s="38"/>
      <c r="O606" s="38"/>
      <c r="P606" s="38"/>
    </row>
    <row r="607" ht="15.75" customHeight="1">
      <c r="D607" s="38"/>
      <c r="E607" s="38"/>
      <c r="F607" s="38"/>
      <c r="G607" s="38"/>
      <c r="H607" s="38"/>
      <c r="I607" s="38"/>
      <c r="J607" s="38"/>
      <c r="K607" s="38"/>
      <c r="L607" s="55"/>
      <c r="M607" s="38"/>
      <c r="N607" s="38"/>
      <c r="O607" s="38"/>
      <c r="P607" s="38"/>
    </row>
    <row r="608" ht="15.75" customHeight="1">
      <c r="D608" s="38"/>
      <c r="E608" s="38"/>
      <c r="F608" s="38"/>
      <c r="G608" s="38"/>
      <c r="H608" s="38"/>
      <c r="I608" s="38"/>
      <c r="J608" s="38"/>
      <c r="K608" s="38"/>
      <c r="L608" s="55"/>
      <c r="M608" s="38"/>
      <c r="N608" s="38"/>
      <c r="O608" s="38"/>
      <c r="P608" s="38"/>
    </row>
    <row r="609" ht="15.75" customHeight="1">
      <c r="D609" s="38"/>
      <c r="E609" s="38"/>
      <c r="F609" s="38"/>
      <c r="G609" s="38"/>
      <c r="H609" s="38"/>
      <c r="I609" s="38"/>
      <c r="J609" s="38"/>
      <c r="K609" s="38"/>
      <c r="L609" s="55"/>
      <c r="M609" s="38"/>
      <c r="N609" s="38"/>
      <c r="O609" s="38"/>
      <c r="P609" s="38"/>
    </row>
    <row r="610" ht="15.75" customHeight="1">
      <c r="D610" s="38"/>
      <c r="E610" s="38"/>
      <c r="F610" s="38"/>
      <c r="G610" s="38"/>
      <c r="H610" s="38"/>
      <c r="I610" s="38"/>
      <c r="J610" s="38"/>
      <c r="K610" s="38"/>
      <c r="L610" s="55"/>
      <c r="M610" s="38"/>
      <c r="N610" s="38"/>
      <c r="O610" s="38"/>
      <c r="P610" s="38"/>
    </row>
    <row r="611" ht="15.75" customHeight="1">
      <c r="D611" s="38"/>
      <c r="E611" s="38"/>
      <c r="F611" s="38"/>
      <c r="G611" s="38"/>
      <c r="H611" s="38"/>
      <c r="I611" s="38"/>
      <c r="J611" s="38"/>
      <c r="K611" s="38"/>
      <c r="L611" s="55"/>
      <c r="M611" s="38"/>
      <c r="N611" s="38"/>
      <c r="O611" s="38"/>
      <c r="P611" s="38"/>
    </row>
    <row r="612" ht="15.75" customHeight="1">
      <c r="D612" s="38"/>
      <c r="E612" s="38"/>
      <c r="F612" s="38"/>
      <c r="G612" s="38"/>
      <c r="H612" s="38"/>
      <c r="I612" s="38"/>
      <c r="J612" s="38"/>
      <c r="K612" s="38"/>
      <c r="L612" s="55"/>
      <c r="M612" s="38"/>
      <c r="N612" s="38"/>
      <c r="O612" s="38"/>
      <c r="P612" s="38"/>
    </row>
    <row r="613" ht="15.75" customHeight="1">
      <c r="D613" s="38"/>
      <c r="E613" s="38"/>
      <c r="F613" s="38"/>
      <c r="G613" s="38"/>
      <c r="H613" s="38"/>
      <c r="I613" s="38"/>
      <c r="J613" s="38"/>
      <c r="K613" s="38"/>
      <c r="L613" s="55"/>
      <c r="M613" s="38"/>
      <c r="N613" s="38"/>
      <c r="O613" s="38"/>
      <c r="P613" s="38"/>
    </row>
    <row r="614" ht="15.75" customHeight="1">
      <c r="D614" s="38"/>
      <c r="E614" s="38"/>
      <c r="F614" s="38"/>
      <c r="G614" s="38"/>
      <c r="H614" s="38"/>
      <c r="I614" s="38"/>
      <c r="J614" s="38"/>
      <c r="K614" s="38"/>
      <c r="L614" s="55"/>
      <c r="M614" s="38"/>
      <c r="N614" s="38"/>
      <c r="O614" s="38"/>
      <c r="P614" s="38"/>
    </row>
    <row r="615" ht="15.75" customHeight="1">
      <c r="D615" s="38"/>
      <c r="E615" s="38"/>
      <c r="F615" s="38"/>
      <c r="G615" s="38"/>
      <c r="H615" s="38"/>
      <c r="I615" s="38"/>
      <c r="J615" s="38"/>
      <c r="K615" s="38"/>
      <c r="L615" s="55"/>
      <c r="M615" s="38"/>
      <c r="N615" s="38"/>
      <c r="O615" s="38"/>
      <c r="P615" s="38"/>
    </row>
    <row r="616" ht="15.75" customHeight="1">
      <c r="D616" s="38"/>
      <c r="E616" s="38"/>
      <c r="F616" s="38"/>
      <c r="G616" s="38"/>
      <c r="H616" s="38"/>
      <c r="I616" s="38"/>
      <c r="J616" s="38"/>
      <c r="K616" s="38"/>
      <c r="L616" s="55"/>
      <c r="M616" s="38"/>
      <c r="N616" s="38"/>
      <c r="O616" s="38"/>
      <c r="P616" s="38"/>
    </row>
    <row r="617" ht="15.75" customHeight="1">
      <c r="D617" s="38"/>
      <c r="E617" s="38"/>
      <c r="F617" s="38"/>
      <c r="G617" s="38"/>
      <c r="H617" s="38"/>
      <c r="I617" s="38"/>
      <c r="J617" s="38"/>
      <c r="K617" s="38"/>
      <c r="L617" s="55"/>
      <c r="M617" s="38"/>
      <c r="N617" s="38"/>
      <c r="O617" s="38"/>
      <c r="P617" s="38"/>
    </row>
    <row r="618" ht="15.75" customHeight="1">
      <c r="D618" s="38"/>
      <c r="E618" s="38"/>
      <c r="F618" s="38"/>
      <c r="G618" s="38"/>
      <c r="H618" s="38"/>
      <c r="I618" s="38"/>
      <c r="J618" s="38"/>
      <c r="K618" s="38"/>
      <c r="L618" s="55"/>
      <c r="M618" s="38"/>
      <c r="N618" s="38"/>
      <c r="O618" s="38"/>
      <c r="P618" s="38"/>
    </row>
    <row r="619" ht="15.75" customHeight="1">
      <c r="D619" s="38"/>
      <c r="E619" s="38"/>
      <c r="F619" s="38"/>
      <c r="G619" s="38"/>
      <c r="H619" s="38"/>
      <c r="I619" s="38"/>
      <c r="J619" s="38"/>
      <c r="K619" s="38"/>
      <c r="L619" s="55"/>
      <c r="M619" s="38"/>
      <c r="N619" s="38"/>
      <c r="O619" s="38"/>
      <c r="P619" s="38"/>
    </row>
    <row r="620" ht="15.75" customHeight="1">
      <c r="D620" s="38"/>
      <c r="E620" s="38"/>
      <c r="F620" s="38"/>
      <c r="G620" s="38"/>
      <c r="H620" s="38"/>
      <c r="I620" s="38"/>
      <c r="J620" s="38"/>
      <c r="K620" s="38"/>
      <c r="L620" s="55"/>
      <c r="M620" s="38"/>
      <c r="N620" s="38"/>
      <c r="O620" s="38"/>
      <c r="P620" s="38"/>
    </row>
    <row r="621" ht="15.75" customHeight="1">
      <c r="D621" s="38"/>
      <c r="E621" s="38"/>
      <c r="F621" s="38"/>
      <c r="G621" s="38"/>
      <c r="H621" s="38"/>
      <c r="I621" s="38"/>
      <c r="J621" s="38"/>
      <c r="K621" s="38"/>
      <c r="L621" s="55"/>
      <c r="M621" s="38"/>
      <c r="N621" s="38"/>
      <c r="O621" s="38"/>
      <c r="P621" s="38"/>
    </row>
    <row r="622" ht="15.75" customHeight="1">
      <c r="D622" s="38"/>
      <c r="E622" s="38"/>
      <c r="F622" s="38"/>
      <c r="G622" s="38"/>
      <c r="H622" s="38"/>
      <c r="I622" s="38"/>
      <c r="J622" s="38"/>
      <c r="K622" s="38"/>
      <c r="L622" s="55"/>
      <c r="M622" s="38"/>
      <c r="N622" s="38"/>
      <c r="O622" s="38"/>
      <c r="P622" s="38"/>
    </row>
    <row r="623" ht="15.75" customHeight="1">
      <c r="D623" s="38"/>
      <c r="E623" s="38"/>
      <c r="F623" s="38"/>
      <c r="G623" s="38"/>
      <c r="H623" s="38"/>
      <c r="I623" s="38"/>
      <c r="J623" s="38"/>
      <c r="K623" s="38"/>
      <c r="L623" s="55"/>
      <c r="M623" s="38"/>
      <c r="N623" s="38"/>
      <c r="O623" s="38"/>
      <c r="P623" s="38"/>
    </row>
    <row r="624" ht="15.75" customHeight="1">
      <c r="D624" s="38"/>
      <c r="E624" s="38"/>
      <c r="F624" s="38"/>
      <c r="G624" s="38"/>
      <c r="H624" s="38"/>
      <c r="I624" s="38"/>
      <c r="J624" s="38"/>
      <c r="K624" s="38"/>
      <c r="L624" s="55"/>
      <c r="M624" s="38"/>
      <c r="N624" s="38"/>
      <c r="O624" s="38"/>
      <c r="P624" s="38"/>
    </row>
    <row r="625" ht="15.75" customHeight="1">
      <c r="D625" s="38"/>
      <c r="E625" s="38"/>
      <c r="F625" s="38"/>
      <c r="G625" s="38"/>
      <c r="H625" s="38"/>
      <c r="I625" s="38"/>
      <c r="J625" s="38"/>
      <c r="K625" s="38"/>
      <c r="L625" s="55"/>
      <c r="M625" s="38"/>
      <c r="N625" s="38"/>
      <c r="O625" s="38"/>
      <c r="P625" s="38"/>
    </row>
    <row r="626" ht="15.75" customHeight="1">
      <c r="D626" s="38"/>
      <c r="E626" s="38"/>
      <c r="F626" s="38"/>
      <c r="G626" s="38"/>
      <c r="H626" s="38"/>
      <c r="I626" s="38"/>
      <c r="J626" s="38"/>
      <c r="K626" s="38"/>
      <c r="L626" s="55"/>
      <c r="M626" s="38"/>
      <c r="N626" s="38"/>
      <c r="O626" s="38"/>
      <c r="P626" s="38"/>
    </row>
    <row r="627" ht="15.75" customHeight="1">
      <c r="D627" s="38"/>
      <c r="E627" s="38"/>
      <c r="F627" s="38"/>
      <c r="G627" s="38"/>
      <c r="H627" s="38"/>
      <c r="I627" s="38"/>
      <c r="J627" s="38"/>
      <c r="K627" s="38"/>
      <c r="L627" s="55"/>
      <c r="M627" s="38"/>
      <c r="N627" s="38"/>
      <c r="O627" s="38"/>
      <c r="P627" s="38"/>
    </row>
    <row r="628" ht="15.75" customHeight="1">
      <c r="D628" s="38"/>
      <c r="E628" s="38"/>
      <c r="F628" s="38"/>
      <c r="G628" s="38"/>
      <c r="H628" s="38"/>
      <c r="I628" s="38"/>
      <c r="J628" s="38"/>
      <c r="K628" s="38"/>
      <c r="L628" s="55"/>
      <c r="M628" s="38"/>
      <c r="N628" s="38"/>
      <c r="O628" s="38"/>
      <c r="P628" s="38"/>
    </row>
    <row r="629" ht="15.75" customHeight="1">
      <c r="D629" s="38"/>
      <c r="E629" s="38"/>
      <c r="F629" s="38"/>
      <c r="G629" s="38"/>
      <c r="H629" s="38"/>
      <c r="I629" s="38"/>
      <c r="J629" s="38"/>
      <c r="K629" s="38"/>
      <c r="L629" s="55"/>
      <c r="M629" s="38"/>
      <c r="N629" s="38"/>
      <c r="O629" s="38"/>
      <c r="P629" s="38"/>
    </row>
    <row r="630" ht="15.75" customHeight="1">
      <c r="D630" s="38"/>
      <c r="E630" s="38"/>
      <c r="F630" s="38"/>
      <c r="G630" s="38"/>
      <c r="H630" s="38"/>
      <c r="I630" s="38"/>
      <c r="J630" s="38"/>
      <c r="K630" s="38"/>
      <c r="L630" s="55"/>
      <c r="M630" s="38"/>
      <c r="N630" s="38"/>
      <c r="O630" s="38"/>
      <c r="P630" s="38"/>
    </row>
    <row r="631" ht="15.75" customHeight="1">
      <c r="D631" s="38"/>
      <c r="E631" s="38"/>
      <c r="F631" s="38"/>
      <c r="G631" s="38"/>
      <c r="H631" s="38"/>
      <c r="I631" s="38"/>
      <c r="J631" s="38"/>
      <c r="K631" s="38"/>
      <c r="L631" s="55"/>
      <c r="M631" s="38"/>
      <c r="N631" s="38"/>
      <c r="O631" s="38"/>
      <c r="P631" s="38"/>
    </row>
    <row r="632" ht="15.75" customHeight="1">
      <c r="D632" s="38"/>
      <c r="E632" s="38"/>
      <c r="F632" s="38"/>
      <c r="G632" s="38"/>
      <c r="H632" s="38"/>
      <c r="I632" s="38"/>
      <c r="J632" s="38"/>
      <c r="K632" s="38"/>
      <c r="L632" s="55"/>
      <c r="M632" s="38"/>
      <c r="N632" s="38"/>
      <c r="O632" s="38"/>
      <c r="P632" s="38"/>
    </row>
    <row r="633" ht="15.75" customHeight="1">
      <c r="D633" s="38"/>
      <c r="E633" s="38"/>
      <c r="F633" s="38"/>
      <c r="G633" s="38"/>
      <c r="H633" s="38"/>
      <c r="I633" s="38"/>
      <c r="J633" s="38"/>
      <c r="K633" s="38"/>
      <c r="L633" s="55"/>
      <c r="M633" s="38"/>
      <c r="N633" s="38"/>
      <c r="O633" s="38"/>
      <c r="P633" s="38"/>
    </row>
    <row r="634" ht="15.75" customHeight="1">
      <c r="D634" s="38"/>
      <c r="E634" s="38"/>
      <c r="F634" s="38"/>
      <c r="G634" s="38"/>
      <c r="H634" s="38"/>
      <c r="I634" s="38"/>
      <c r="J634" s="38"/>
      <c r="K634" s="38"/>
      <c r="L634" s="55"/>
      <c r="M634" s="38"/>
      <c r="N634" s="38"/>
      <c r="O634" s="38"/>
      <c r="P634" s="38"/>
    </row>
    <row r="635" ht="15.75" customHeight="1">
      <c r="D635" s="38"/>
      <c r="E635" s="38"/>
      <c r="F635" s="38"/>
      <c r="G635" s="38"/>
      <c r="H635" s="38"/>
      <c r="I635" s="38"/>
      <c r="J635" s="38"/>
      <c r="K635" s="38"/>
      <c r="L635" s="55"/>
      <c r="M635" s="38"/>
      <c r="N635" s="38"/>
      <c r="O635" s="38"/>
      <c r="P635" s="38"/>
    </row>
    <row r="636" ht="15.75" customHeight="1">
      <c r="D636" s="38"/>
      <c r="E636" s="38"/>
      <c r="F636" s="38"/>
      <c r="G636" s="38"/>
      <c r="H636" s="38"/>
      <c r="I636" s="38"/>
      <c r="J636" s="38"/>
      <c r="K636" s="38"/>
      <c r="L636" s="55"/>
      <c r="M636" s="38"/>
      <c r="N636" s="38"/>
      <c r="O636" s="38"/>
      <c r="P636" s="38"/>
    </row>
    <row r="637" ht="15.75" customHeight="1">
      <c r="D637" s="38"/>
      <c r="E637" s="38"/>
      <c r="F637" s="38"/>
      <c r="G637" s="38"/>
      <c r="H637" s="38"/>
      <c r="I637" s="38"/>
      <c r="J637" s="38"/>
      <c r="K637" s="38"/>
      <c r="L637" s="55"/>
      <c r="M637" s="38"/>
      <c r="N637" s="38"/>
      <c r="O637" s="38"/>
      <c r="P637" s="38"/>
    </row>
    <row r="638" ht="15.75" customHeight="1">
      <c r="D638" s="38"/>
      <c r="E638" s="38"/>
      <c r="F638" s="38"/>
      <c r="G638" s="38"/>
      <c r="H638" s="38"/>
      <c r="I638" s="38"/>
      <c r="J638" s="38"/>
      <c r="K638" s="38"/>
      <c r="L638" s="55"/>
      <c r="M638" s="38"/>
      <c r="N638" s="38"/>
      <c r="O638" s="38"/>
      <c r="P638" s="38"/>
    </row>
    <row r="639" ht="15.75" customHeight="1">
      <c r="D639" s="38"/>
      <c r="E639" s="38"/>
      <c r="F639" s="38"/>
      <c r="G639" s="38"/>
      <c r="H639" s="38"/>
      <c r="I639" s="38"/>
      <c r="J639" s="38"/>
      <c r="K639" s="38"/>
      <c r="L639" s="55"/>
      <c r="M639" s="38"/>
      <c r="N639" s="38"/>
      <c r="O639" s="38"/>
      <c r="P639" s="38"/>
    </row>
    <row r="640" ht="15.75" customHeight="1">
      <c r="D640" s="38"/>
      <c r="E640" s="38"/>
      <c r="F640" s="38"/>
      <c r="G640" s="38"/>
      <c r="H640" s="38"/>
      <c r="I640" s="38"/>
      <c r="J640" s="38"/>
      <c r="K640" s="38"/>
      <c r="L640" s="55"/>
      <c r="M640" s="38"/>
      <c r="N640" s="38"/>
      <c r="O640" s="38"/>
      <c r="P640" s="38"/>
    </row>
    <row r="641" ht="15.75" customHeight="1">
      <c r="D641" s="38"/>
      <c r="E641" s="38"/>
      <c r="F641" s="38"/>
      <c r="G641" s="38"/>
      <c r="H641" s="38"/>
      <c r="I641" s="38"/>
      <c r="J641" s="38"/>
      <c r="K641" s="38"/>
      <c r="L641" s="55"/>
      <c r="M641" s="38"/>
      <c r="N641" s="38"/>
      <c r="O641" s="38"/>
      <c r="P641" s="38"/>
    </row>
    <row r="642" ht="15.75" customHeight="1">
      <c r="D642" s="38"/>
      <c r="E642" s="38"/>
      <c r="F642" s="38"/>
      <c r="G642" s="38"/>
      <c r="H642" s="38"/>
      <c r="I642" s="38"/>
      <c r="J642" s="38"/>
      <c r="K642" s="38"/>
      <c r="L642" s="55"/>
      <c r="M642" s="38"/>
      <c r="N642" s="38"/>
      <c r="O642" s="38"/>
      <c r="P642" s="38"/>
    </row>
    <row r="643" ht="15.75" customHeight="1">
      <c r="D643" s="38"/>
      <c r="E643" s="38"/>
      <c r="F643" s="38"/>
      <c r="G643" s="38"/>
      <c r="H643" s="38"/>
      <c r="I643" s="38"/>
      <c r="J643" s="38"/>
      <c r="K643" s="38"/>
      <c r="L643" s="55"/>
      <c r="M643" s="38"/>
      <c r="N643" s="38"/>
      <c r="O643" s="38"/>
      <c r="P643" s="38"/>
    </row>
    <row r="644" ht="15.75" customHeight="1">
      <c r="D644" s="38"/>
      <c r="E644" s="38"/>
      <c r="F644" s="38"/>
      <c r="G644" s="38"/>
      <c r="H644" s="38"/>
      <c r="I644" s="38"/>
      <c r="J644" s="38"/>
      <c r="K644" s="38"/>
      <c r="L644" s="55"/>
      <c r="M644" s="38"/>
      <c r="N644" s="38"/>
      <c r="O644" s="38"/>
      <c r="P644" s="38"/>
    </row>
    <row r="645" ht="15.75" customHeight="1">
      <c r="D645" s="38"/>
      <c r="E645" s="38"/>
      <c r="F645" s="38"/>
      <c r="G645" s="38"/>
      <c r="H645" s="38"/>
      <c r="I645" s="38"/>
      <c r="J645" s="38"/>
      <c r="K645" s="38"/>
      <c r="L645" s="55"/>
      <c r="M645" s="38"/>
      <c r="N645" s="38"/>
      <c r="O645" s="38"/>
      <c r="P645" s="38"/>
    </row>
    <row r="646" ht="15.75" customHeight="1">
      <c r="D646" s="38"/>
      <c r="E646" s="38"/>
      <c r="F646" s="38"/>
      <c r="G646" s="38"/>
      <c r="H646" s="38"/>
      <c r="I646" s="38"/>
      <c r="J646" s="38"/>
      <c r="K646" s="38"/>
      <c r="L646" s="55"/>
      <c r="M646" s="38"/>
      <c r="N646" s="38"/>
      <c r="O646" s="38"/>
      <c r="P646" s="38"/>
    </row>
    <row r="647" ht="15.75" customHeight="1">
      <c r="D647" s="38"/>
      <c r="E647" s="38"/>
      <c r="F647" s="38"/>
      <c r="G647" s="38"/>
      <c r="H647" s="38"/>
      <c r="I647" s="38"/>
      <c r="J647" s="38"/>
      <c r="K647" s="38"/>
      <c r="L647" s="55"/>
      <c r="M647" s="38"/>
      <c r="N647" s="38"/>
      <c r="O647" s="38"/>
      <c r="P647" s="38"/>
    </row>
    <row r="648" ht="15.75" customHeight="1">
      <c r="D648" s="38"/>
      <c r="E648" s="38"/>
      <c r="F648" s="38"/>
      <c r="G648" s="38"/>
      <c r="H648" s="38"/>
      <c r="I648" s="38"/>
      <c r="J648" s="38"/>
      <c r="K648" s="38"/>
      <c r="L648" s="55"/>
      <c r="M648" s="38"/>
      <c r="N648" s="38"/>
      <c r="O648" s="38"/>
      <c r="P648" s="38"/>
    </row>
    <row r="649" ht="15.75" customHeight="1">
      <c r="D649" s="38"/>
      <c r="E649" s="38"/>
      <c r="F649" s="38"/>
      <c r="G649" s="38"/>
      <c r="H649" s="38"/>
      <c r="I649" s="38"/>
      <c r="J649" s="38"/>
      <c r="K649" s="38"/>
      <c r="L649" s="55"/>
      <c r="M649" s="38"/>
      <c r="N649" s="38"/>
      <c r="O649" s="38"/>
      <c r="P649" s="38"/>
    </row>
    <row r="650" ht="15.75" customHeight="1">
      <c r="D650" s="38"/>
      <c r="E650" s="38"/>
      <c r="F650" s="38"/>
      <c r="G650" s="38"/>
      <c r="H650" s="38"/>
      <c r="I650" s="38"/>
      <c r="J650" s="38"/>
      <c r="K650" s="38"/>
      <c r="L650" s="55"/>
      <c r="M650" s="38"/>
      <c r="N650" s="38"/>
      <c r="O650" s="38"/>
      <c r="P650" s="38"/>
    </row>
    <row r="651" ht="15.75" customHeight="1">
      <c r="D651" s="38"/>
      <c r="E651" s="38"/>
      <c r="F651" s="38"/>
      <c r="G651" s="38"/>
      <c r="H651" s="38"/>
      <c r="I651" s="38"/>
      <c r="J651" s="38"/>
      <c r="K651" s="38"/>
      <c r="L651" s="55"/>
      <c r="M651" s="38"/>
      <c r="N651" s="38"/>
      <c r="O651" s="38"/>
      <c r="P651" s="38"/>
    </row>
    <row r="652" ht="15.75" customHeight="1">
      <c r="D652" s="38"/>
      <c r="E652" s="38"/>
      <c r="F652" s="38"/>
      <c r="G652" s="38"/>
      <c r="H652" s="38"/>
      <c r="I652" s="38"/>
      <c r="J652" s="38"/>
      <c r="K652" s="38"/>
      <c r="L652" s="55"/>
      <c r="M652" s="38"/>
      <c r="N652" s="38"/>
      <c r="O652" s="38"/>
      <c r="P652" s="38"/>
    </row>
    <row r="653" ht="15.75" customHeight="1">
      <c r="D653" s="38"/>
      <c r="E653" s="38"/>
      <c r="F653" s="38"/>
      <c r="G653" s="38"/>
      <c r="H653" s="38"/>
      <c r="I653" s="38"/>
      <c r="J653" s="38"/>
      <c r="K653" s="38"/>
      <c r="L653" s="55"/>
      <c r="M653" s="38"/>
      <c r="N653" s="38"/>
      <c r="O653" s="38"/>
      <c r="P653" s="38"/>
    </row>
    <row r="654" ht="15.75" customHeight="1">
      <c r="D654" s="38"/>
      <c r="E654" s="38"/>
      <c r="F654" s="38"/>
      <c r="G654" s="38"/>
      <c r="H654" s="38"/>
      <c r="I654" s="38"/>
      <c r="J654" s="38"/>
      <c r="K654" s="38"/>
      <c r="L654" s="55"/>
      <c r="M654" s="38"/>
      <c r="N654" s="38"/>
      <c r="O654" s="38"/>
      <c r="P654" s="38"/>
    </row>
    <row r="655" ht="15.75" customHeight="1">
      <c r="D655" s="38"/>
      <c r="E655" s="38"/>
      <c r="F655" s="38"/>
      <c r="G655" s="38"/>
      <c r="H655" s="38"/>
      <c r="I655" s="38"/>
      <c r="J655" s="38"/>
      <c r="K655" s="38"/>
      <c r="L655" s="55"/>
      <c r="M655" s="38"/>
      <c r="N655" s="38"/>
      <c r="O655" s="38"/>
      <c r="P655" s="38"/>
    </row>
    <row r="656" ht="15.75" customHeight="1">
      <c r="D656" s="38"/>
      <c r="E656" s="38"/>
      <c r="F656" s="38"/>
      <c r="G656" s="38"/>
      <c r="H656" s="38"/>
      <c r="I656" s="38"/>
      <c r="J656" s="38"/>
      <c r="K656" s="38"/>
      <c r="L656" s="55"/>
      <c r="M656" s="38"/>
      <c r="N656" s="38"/>
      <c r="O656" s="38"/>
      <c r="P656" s="38"/>
    </row>
    <row r="657" ht="15.75" customHeight="1">
      <c r="D657" s="38"/>
      <c r="E657" s="38"/>
      <c r="F657" s="38"/>
      <c r="G657" s="38"/>
      <c r="H657" s="38"/>
      <c r="I657" s="38"/>
      <c r="J657" s="38"/>
      <c r="K657" s="38"/>
      <c r="L657" s="55"/>
      <c r="M657" s="38"/>
      <c r="N657" s="38"/>
      <c r="O657" s="38"/>
      <c r="P657" s="38"/>
    </row>
    <row r="658" ht="15.75" customHeight="1">
      <c r="D658" s="38"/>
      <c r="E658" s="38"/>
      <c r="F658" s="38"/>
      <c r="G658" s="38"/>
      <c r="H658" s="38"/>
      <c r="I658" s="38"/>
      <c r="J658" s="38"/>
      <c r="K658" s="38"/>
      <c r="L658" s="55"/>
      <c r="M658" s="38"/>
      <c r="N658" s="38"/>
      <c r="O658" s="38"/>
      <c r="P658" s="38"/>
    </row>
    <row r="659" ht="15.75" customHeight="1">
      <c r="D659" s="38"/>
      <c r="E659" s="38"/>
      <c r="F659" s="38"/>
      <c r="G659" s="38"/>
      <c r="H659" s="38"/>
      <c r="I659" s="38"/>
      <c r="J659" s="38"/>
      <c r="K659" s="38"/>
      <c r="L659" s="55"/>
      <c r="M659" s="38"/>
      <c r="N659" s="38"/>
      <c r="O659" s="38"/>
      <c r="P659" s="38"/>
    </row>
    <row r="660" ht="15.75" customHeight="1">
      <c r="D660" s="38"/>
      <c r="E660" s="38"/>
      <c r="F660" s="38"/>
      <c r="G660" s="38"/>
      <c r="H660" s="38"/>
      <c r="I660" s="38"/>
      <c r="J660" s="38"/>
      <c r="K660" s="38"/>
      <c r="L660" s="55"/>
      <c r="M660" s="38"/>
      <c r="N660" s="38"/>
      <c r="O660" s="38"/>
      <c r="P660" s="38"/>
    </row>
    <row r="661" ht="15.75" customHeight="1">
      <c r="D661" s="38"/>
      <c r="E661" s="38"/>
      <c r="F661" s="38"/>
      <c r="G661" s="38"/>
      <c r="H661" s="38"/>
      <c r="I661" s="38"/>
      <c r="J661" s="38"/>
      <c r="K661" s="38"/>
      <c r="L661" s="55"/>
      <c r="M661" s="38"/>
      <c r="N661" s="38"/>
      <c r="O661" s="38"/>
      <c r="P661" s="38"/>
    </row>
    <row r="662" ht="15.75" customHeight="1">
      <c r="D662" s="38"/>
      <c r="E662" s="38"/>
      <c r="F662" s="38"/>
      <c r="G662" s="38"/>
      <c r="H662" s="38"/>
      <c r="I662" s="38"/>
      <c r="J662" s="38"/>
      <c r="K662" s="38"/>
      <c r="L662" s="55"/>
      <c r="M662" s="38"/>
      <c r="N662" s="38"/>
      <c r="O662" s="38"/>
      <c r="P662" s="38"/>
    </row>
    <row r="663" ht="15.75" customHeight="1">
      <c r="D663" s="38"/>
      <c r="E663" s="38"/>
      <c r="F663" s="38"/>
      <c r="G663" s="38"/>
      <c r="H663" s="38"/>
      <c r="I663" s="38"/>
      <c r="J663" s="38"/>
      <c r="K663" s="38"/>
      <c r="L663" s="55"/>
      <c r="M663" s="38"/>
      <c r="N663" s="38"/>
      <c r="O663" s="38"/>
      <c r="P663" s="38"/>
    </row>
    <row r="664" ht="15.75" customHeight="1">
      <c r="D664" s="38"/>
      <c r="E664" s="38"/>
      <c r="F664" s="38"/>
      <c r="G664" s="38"/>
      <c r="H664" s="38"/>
      <c r="I664" s="38"/>
      <c r="J664" s="38"/>
      <c r="K664" s="38"/>
      <c r="L664" s="55"/>
      <c r="M664" s="38"/>
      <c r="N664" s="38"/>
      <c r="O664" s="38"/>
      <c r="P664" s="38"/>
    </row>
    <row r="665" ht="15.75" customHeight="1">
      <c r="D665" s="38"/>
      <c r="E665" s="38"/>
      <c r="F665" s="38"/>
      <c r="G665" s="38"/>
      <c r="H665" s="38"/>
      <c r="I665" s="38"/>
      <c r="J665" s="38"/>
      <c r="K665" s="38"/>
      <c r="L665" s="55"/>
      <c r="M665" s="38"/>
      <c r="N665" s="38"/>
      <c r="O665" s="38"/>
      <c r="P665" s="38"/>
    </row>
    <row r="666" ht="15.75" customHeight="1">
      <c r="D666" s="38"/>
      <c r="E666" s="38"/>
      <c r="F666" s="38"/>
      <c r="G666" s="38"/>
      <c r="H666" s="38"/>
      <c r="I666" s="38"/>
      <c r="J666" s="38"/>
      <c r="K666" s="38"/>
      <c r="L666" s="55"/>
      <c r="M666" s="38"/>
      <c r="N666" s="38"/>
      <c r="O666" s="38"/>
      <c r="P666" s="38"/>
    </row>
    <row r="667" ht="15.75" customHeight="1">
      <c r="D667" s="38"/>
      <c r="E667" s="38"/>
      <c r="F667" s="38"/>
      <c r="G667" s="38"/>
      <c r="H667" s="38"/>
      <c r="I667" s="38"/>
      <c r="J667" s="38"/>
      <c r="K667" s="38"/>
      <c r="L667" s="55"/>
      <c r="M667" s="38"/>
      <c r="N667" s="38"/>
      <c r="O667" s="38"/>
      <c r="P667" s="38"/>
    </row>
    <row r="668" ht="15.75" customHeight="1">
      <c r="D668" s="38"/>
      <c r="E668" s="38"/>
      <c r="F668" s="38"/>
      <c r="G668" s="38"/>
      <c r="H668" s="38"/>
      <c r="I668" s="38"/>
      <c r="J668" s="38"/>
      <c r="K668" s="38"/>
      <c r="L668" s="55"/>
      <c r="M668" s="38"/>
      <c r="N668" s="38"/>
      <c r="O668" s="38"/>
      <c r="P668" s="38"/>
    </row>
    <row r="669" ht="15.75" customHeight="1">
      <c r="D669" s="38"/>
      <c r="E669" s="38"/>
      <c r="F669" s="38"/>
      <c r="G669" s="38"/>
      <c r="H669" s="38"/>
      <c r="I669" s="38"/>
      <c r="J669" s="38"/>
      <c r="K669" s="38"/>
      <c r="L669" s="55"/>
      <c r="M669" s="38"/>
      <c r="N669" s="38"/>
      <c r="O669" s="38"/>
      <c r="P669" s="38"/>
    </row>
    <row r="670" ht="15.75" customHeight="1">
      <c r="D670" s="38"/>
      <c r="E670" s="38"/>
      <c r="F670" s="38"/>
      <c r="G670" s="38"/>
      <c r="H670" s="38"/>
      <c r="I670" s="38"/>
      <c r="J670" s="38"/>
      <c r="K670" s="38"/>
      <c r="L670" s="55"/>
      <c r="M670" s="38"/>
      <c r="N670" s="38"/>
      <c r="O670" s="38"/>
      <c r="P670" s="38"/>
    </row>
    <row r="671" ht="15.75" customHeight="1">
      <c r="D671" s="38"/>
      <c r="E671" s="38"/>
      <c r="F671" s="38"/>
      <c r="G671" s="38"/>
      <c r="H671" s="38"/>
      <c r="I671" s="38"/>
      <c r="J671" s="38"/>
      <c r="K671" s="38"/>
      <c r="L671" s="55"/>
      <c r="M671" s="38"/>
      <c r="N671" s="38"/>
      <c r="O671" s="38"/>
      <c r="P671" s="38"/>
    </row>
    <row r="672" ht="15.75" customHeight="1">
      <c r="D672" s="38"/>
      <c r="E672" s="38"/>
      <c r="F672" s="38"/>
      <c r="G672" s="38"/>
      <c r="H672" s="38"/>
      <c r="I672" s="38"/>
      <c r="J672" s="38"/>
      <c r="K672" s="38"/>
      <c r="L672" s="55"/>
      <c r="M672" s="38"/>
      <c r="N672" s="38"/>
      <c r="O672" s="38"/>
      <c r="P672" s="38"/>
    </row>
    <row r="673" ht="15.75" customHeight="1">
      <c r="D673" s="38"/>
      <c r="E673" s="38"/>
      <c r="F673" s="38"/>
      <c r="G673" s="38"/>
      <c r="H673" s="38"/>
      <c r="I673" s="38"/>
      <c r="J673" s="38"/>
      <c r="K673" s="38"/>
      <c r="L673" s="55"/>
      <c r="M673" s="38"/>
      <c r="N673" s="38"/>
      <c r="O673" s="38"/>
      <c r="P673" s="38"/>
    </row>
    <row r="674" ht="15.75" customHeight="1">
      <c r="D674" s="38"/>
      <c r="E674" s="38"/>
      <c r="F674" s="38"/>
      <c r="G674" s="38"/>
      <c r="H674" s="38"/>
      <c r="I674" s="38"/>
      <c r="J674" s="38"/>
      <c r="K674" s="38"/>
      <c r="L674" s="55"/>
      <c r="M674" s="38"/>
      <c r="N674" s="38"/>
      <c r="O674" s="38"/>
      <c r="P674" s="38"/>
    </row>
    <row r="675" ht="15.75" customHeight="1">
      <c r="D675" s="38"/>
      <c r="E675" s="38"/>
      <c r="F675" s="38"/>
      <c r="G675" s="38"/>
      <c r="H675" s="38"/>
      <c r="I675" s="38"/>
      <c r="J675" s="38"/>
      <c r="K675" s="38"/>
      <c r="L675" s="55"/>
      <c r="M675" s="38"/>
      <c r="N675" s="38"/>
      <c r="O675" s="38"/>
      <c r="P675" s="38"/>
    </row>
    <row r="676" ht="15.75" customHeight="1">
      <c r="D676" s="38"/>
      <c r="E676" s="38"/>
      <c r="F676" s="38"/>
      <c r="G676" s="38"/>
      <c r="H676" s="38"/>
      <c r="I676" s="38"/>
      <c r="J676" s="38"/>
      <c r="K676" s="38"/>
      <c r="L676" s="55"/>
      <c r="M676" s="38"/>
      <c r="N676" s="38"/>
      <c r="O676" s="38"/>
      <c r="P676" s="38"/>
    </row>
    <row r="677" ht="15.75" customHeight="1">
      <c r="D677" s="38"/>
      <c r="E677" s="38"/>
      <c r="F677" s="38"/>
      <c r="G677" s="38"/>
      <c r="H677" s="38"/>
      <c r="I677" s="38"/>
      <c r="J677" s="38"/>
      <c r="K677" s="38"/>
      <c r="L677" s="55"/>
      <c r="M677" s="38"/>
      <c r="N677" s="38"/>
      <c r="O677" s="38"/>
      <c r="P677" s="38"/>
    </row>
    <row r="678" ht="15.75" customHeight="1">
      <c r="D678" s="38"/>
      <c r="E678" s="38"/>
      <c r="F678" s="38"/>
      <c r="G678" s="38"/>
      <c r="H678" s="38"/>
      <c r="I678" s="38"/>
      <c r="J678" s="38"/>
      <c r="K678" s="38"/>
      <c r="L678" s="55"/>
      <c r="M678" s="38"/>
      <c r="N678" s="38"/>
      <c r="O678" s="38"/>
      <c r="P678" s="38"/>
    </row>
    <row r="679" ht="15.75" customHeight="1">
      <c r="D679" s="38"/>
      <c r="E679" s="38"/>
      <c r="F679" s="38"/>
      <c r="G679" s="38"/>
      <c r="H679" s="38"/>
      <c r="I679" s="38"/>
      <c r="J679" s="38"/>
      <c r="K679" s="38"/>
      <c r="L679" s="55"/>
      <c r="M679" s="38"/>
      <c r="N679" s="38"/>
      <c r="O679" s="38"/>
      <c r="P679" s="38"/>
    </row>
    <row r="680" ht="15.75" customHeight="1">
      <c r="D680" s="38"/>
      <c r="E680" s="38"/>
      <c r="F680" s="38"/>
      <c r="G680" s="38"/>
      <c r="H680" s="38"/>
      <c r="I680" s="38"/>
      <c r="J680" s="38"/>
      <c r="K680" s="38"/>
      <c r="L680" s="55"/>
      <c r="M680" s="38"/>
      <c r="N680" s="38"/>
      <c r="O680" s="38"/>
      <c r="P680" s="38"/>
    </row>
    <row r="681" ht="15.75" customHeight="1">
      <c r="D681" s="38"/>
      <c r="E681" s="38"/>
      <c r="F681" s="38"/>
      <c r="G681" s="38"/>
      <c r="H681" s="38"/>
      <c r="I681" s="38"/>
      <c r="J681" s="38"/>
      <c r="K681" s="38"/>
      <c r="L681" s="55"/>
      <c r="M681" s="38"/>
      <c r="N681" s="38"/>
      <c r="O681" s="38"/>
      <c r="P681" s="38"/>
    </row>
    <row r="682" ht="15.75" customHeight="1">
      <c r="D682" s="38"/>
      <c r="E682" s="38"/>
      <c r="F682" s="38"/>
      <c r="G682" s="38"/>
      <c r="H682" s="38"/>
      <c r="I682" s="38"/>
      <c r="J682" s="38"/>
      <c r="K682" s="38"/>
      <c r="L682" s="55"/>
      <c r="M682" s="38"/>
      <c r="N682" s="38"/>
      <c r="O682" s="38"/>
      <c r="P682" s="38"/>
    </row>
    <row r="683" ht="15.75" customHeight="1">
      <c r="D683" s="38"/>
      <c r="E683" s="38"/>
      <c r="F683" s="38"/>
      <c r="G683" s="38"/>
      <c r="H683" s="38"/>
      <c r="I683" s="38"/>
      <c r="J683" s="38"/>
      <c r="K683" s="38"/>
      <c r="L683" s="55"/>
      <c r="M683" s="38"/>
      <c r="N683" s="38"/>
      <c r="O683" s="38"/>
      <c r="P683" s="38"/>
    </row>
    <row r="684" ht="15.75" customHeight="1">
      <c r="D684" s="38"/>
      <c r="E684" s="38"/>
      <c r="F684" s="38"/>
      <c r="G684" s="38"/>
      <c r="H684" s="38"/>
      <c r="I684" s="38"/>
      <c r="J684" s="38"/>
      <c r="K684" s="38"/>
      <c r="L684" s="55"/>
      <c r="M684" s="38"/>
      <c r="N684" s="38"/>
      <c r="O684" s="38"/>
      <c r="P684" s="38"/>
    </row>
    <row r="685" ht="15.75" customHeight="1">
      <c r="D685" s="38"/>
      <c r="E685" s="38"/>
      <c r="F685" s="38"/>
      <c r="G685" s="38"/>
      <c r="H685" s="38"/>
      <c r="I685" s="38"/>
      <c r="J685" s="38"/>
      <c r="K685" s="38"/>
      <c r="L685" s="55"/>
      <c r="M685" s="38"/>
      <c r="N685" s="38"/>
      <c r="O685" s="38"/>
      <c r="P685" s="38"/>
    </row>
    <row r="686" ht="15.75" customHeight="1">
      <c r="D686" s="38"/>
      <c r="E686" s="38"/>
      <c r="F686" s="38"/>
      <c r="G686" s="38"/>
      <c r="H686" s="38"/>
      <c r="I686" s="38"/>
      <c r="J686" s="38"/>
      <c r="K686" s="38"/>
      <c r="L686" s="55"/>
      <c r="M686" s="38"/>
      <c r="N686" s="38"/>
      <c r="O686" s="38"/>
      <c r="P686" s="38"/>
    </row>
    <row r="687" ht="15.75" customHeight="1">
      <c r="D687" s="38"/>
      <c r="E687" s="38"/>
      <c r="F687" s="38"/>
      <c r="G687" s="38"/>
      <c r="H687" s="38"/>
      <c r="I687" s="38"/>
      <c r="J687" s="38"/>
      <c r="K687" s="38"/>
      <c r="L687" s="55"/>
      <c r="M687" s="38"/>
      <c r="N687" s="38"/>
      <c r="O687" s="38"/>
      <c r="P687" s="38"/>
    </row>
    <row r="688" ht="15.75" customHeight="1">
      <c r="D688" s="38"/>
      <c r="E688" s="38"/>
      <c r="F688" s="38"/>
      <c r="G688" s="38"/>
      <c r="H688" s="38"/>
      <c r="I688" s="38"/>
      <c r="J688" s="38"/>
      <c r="K688" s="38"/>
      <c r="L688" s="55"/>
      <c r="M688" s="38"/>
      <c r="N688" s="38"/>
      <c r="O688" s="38"/>
      <c r="P688" s="38"/>
    </row>
    <row r="689" ht="15.75" customHeight="1">
      <c r="D689" s="38"/>
      <c r="E689" s="38"/>
      <c r="F689" s="38"/>
      <c r="G689" s="38"/>
      <c r="H689" s="38"/>
      <c r="I689" s="38"/>
      <c r="J689" s="38"/>
      <c r="K689" s="38"/>
      <c r="L689" s="55"/>
      <c r="M689" s="38"/>
      <c r="N689" s="38"/>
      <c r="O689" s="38"/>
      <c r="P689" s="38"/>
    </row>
    <row r="690" ht="15.75" customHeight="1">
      <c r="D690" s="38"/>
      <c r="E690" s="38"/>
      <c r="F690" s="38"/>
      <c r="G690" s="38"/>
      <c r="H690" s="38"/>
      <c r="I690" s="38"/>
      <c r="J690" s="38"/>
      <c r="K690" s="38"/>
      <c r="L690" s="55"/>
      <c r="M690" s="38"/>
      <c r="N690" s="38"/>
      <c r="O690" s="38"/>
      <c r="P690" s="38"/>
    </row>
    <row r="691" ht="15.75" customHeight="1">
      <c r="D691" s="38"/>
      <c r="E691" s="38"/>
      <c r="F691" s="38"/>
      <c r="G691" s="38"/>
      <c r="H691" s="38"/>
      <c r="I691" s="38"/>
      <c r="J691" s="38"/>
      <c r="K691" s="38"/>
      <c r="L691" s="55"/>
      <c r="M691" s="38"/>
      <c r="N691" s="38"/>
      <c r="O691" s="38"/>
      <c r="P691" s="38"/>
    </row>
    <row r="692" ht="15.75" customHeight="1">
      <c r="D692" s="38"/>
      <c r="E692" s="38"/>
      <c r="F692" s="38"/>
      <c r="G692" s="38"/>
      <c r="H692" s="38"/>
      <c r="I692" s="38"/>
      <c r="J692" s="38"/>
      <c r="K692" s="38"/>
      <c r="L692" s="55"/>
      <c r="M692" s="38"/>
      <c r="N692" s="38"/>
      <c r="O692" s="38"/>
      <c r="P692" s="38"/>
    </row>
    <row r="693" ht="15.75" customHeight="1">
      <c r="D693" s="38"/>
      <c r="E693" s="38"/>
      <c r="F693" s="38"/>
      <c r="G693" s="38"/>
      <c r="H693" s="38"/>
      <c r="I693" s="38"/>
      <c r="J693" s="38"/>
      <c r="K693" s="38"/>
      <c r="L693" s="55"/>
      <c r="M693" s="38"/>
      <c r="N693" s="38"/>
      <c r="O693" s="38"/>
      <c r="P693" s="38"/>
    </row>
    <row r="694" ht="15.75" customHeight="1">
      <c r="D694" s="38"/>
      <c r="E694" s="38"/>
      <c r="F694" s="38"/>
      <c r="G694" s="38"/>
      <c r="H694" s="38"/>
      <c r="I694" s="38"/>
      <c r="J694" s="38"/>
      <c r="K694" s="38"/>
      <c r="L694" s="55"/>
      <c r="M694" s="38"/>
      <c r="N694" s="38"/>
      <c r="O694" s="38"/>
      <c r="P694" s="38"/>
    </row>
    <row r="695" ht="15.75" customHeight="1">
      <c r="D695" s="38"/>
      <c r="E695" s="38"/>
      <c r="F695" s="38"/>
      <c r="G695" s="38"/>
      <c r="H695" s="38"/>
      <c r="I695" s="38"/>
      <c r="J695" s="38"/>
      <c r="K695" s="38"/>
      <c r="L695" s="55"/>
      <c r="M695" s="38"/>
      <c r="N695" s="38"/>
      <c r="O695" s="38"/>
      <c r="P695" s="38"/>
    </row>
    <row r="696" ht="15.75" customHeight="1">
      <c r="D696" s="38"/>
      <c r="E696" s="38"/>
      <c r="F696" s="38"/>
      <c r="G696" s="38"/>
      <c r="H696" s="38"/>
      <c r="I696" s="38"/>
      <c r="J696" s="38"/>
      <c r="K696" s="38"/>
      <c r="L696" s="55"/>
      <c r="M696" s="38"/>
      <c r="N696" s="38"/>
      <c r="O696" s="38"/>
      <c r="P696" s="38"/>
    </row>
    <row r="697" ht="15.75" customHeight="1">
      <c r="D697" s="38"/>
      <c r="E697" s="38"/>
      <c r="F697" s="38"/>
      <c r="G697" s="38"/>
      <c r="H697" s="38"/>
      <c r="I697" s="38"/>
      <c r="J697" s="38"/>
      <c r="K697" s="38"/>
      <c r="L697" s="55"/>
      <c r="M697" s="38"/>
      <c r="N697" s="38"/>
      <c r="O697" s="38"/>
      <c r="P697" s="38"/>
    </row>
    <row r="698" ht="15.75" customHeight="1">
      <c r="D698" s="38"/>
      <c r="E698" s="38"/>
      <c r="F698" s="38"/>
      <c r="G698" s="38"/>
      <c r="H698" s="38"/>
      <c r="I698" s="38"/>
      <c r="J698" s="38"/>
      <c r="K698" s="38"/>
      <c r="L698" s="55"/>
      <c r="M698" s="38"/>
      <c r="N698" s="38"/>
      <c r="O698" s="38"/>
      <c r="P698" s="38"/>
    </row>
    <row r="699" ht="15.75" customHeight="1">
      <c r="D699" s="38"/>
      <c r="E699" s="38"/>
      <c r="F699" s="38"/>
      <c r="G699" s="38"/>
      <c r="H699" s="38"/>
      <c r="I699" s="38"/>
      <c r="J699" s="38"/>
      <c r="K699" s="38"/>
      <c r="L699" s="55"/>
      <c r="M699" s="38"/>
      <c r="N699" s="38"/>
      <c r="O699" s="38"/>
      <c r="P699" s="38"/>
    </row>
    <row r="700" ht="15.75" customHeight="1">
      <c r="D700" s="38"/>
      <c r="E700" s="38"/>
      <c r="F700" s="38"/>
      <c r="G700" s="38"/>
      <c r="H700" s="38"/>
      <c r="I700" s="38"/>
      <c r="J700" s="38"/>
      <c r="K700" s="38"/>
      <c r="L700" s="55"/>
      <c r="M700" s="38"/>
      <c r="N700" s="38"/>
      <c r="O700" s="38"/>
      <c r="P700" s="38"/>
    </row>
    <row r="701" ht="15.75" customHeight="1">
      <c r="D701" s="38"/>
      <c r="E701" s="38"/>
      <c r="F701" s="38"/>
      <c r="G701" s="38"/>
      <c r="H701" s="38"/>
      <c r="I701" s="38"/>
      <c r="J701" s="38"/>
      <c r="K701" s="38"/>
      <c r="L701" s="55"/>
      <c r="M701" s="38"/>
      <c r="N701" s="38"/>
      <c r="O701" s="38"/>
      <c r="P701" s="38"/>
    </row>
    <row r="702" ht="15.75" customHeight="1">
      <c r="D702" s="38"/>
      <c r="E702" s="38"/>
      <c r="F702" s="38"/>
      <c r="G702" s="38"/>
      <c r="H702" s="38"/>
      <c r="I702" s="38"/>
      <c r="J702" s="38"/>
      <c r="K702" s="38"/>
      <c r="L702" s="55"/>
      <c r="M702" s="38"/>
      <c r="N702" s="38"/>
      <c r="O702" s="38"/>
      <c r="P702" s="38"/>
    </row>
    <row r="703" ht="15.75" customHeight="1">
      <c r="D703" s="38"/>
      <c r="E703" s="38"/>
      <c r="F703" s="38"/>
      <c r="G703" s="38"/>
      <c r="H703" s="38"/>
      <c r="I703" s="38"/>
      <c r="J703" s="38"/>
      <c r="K703" s="38"/>
      <c r="L703" s="55"/>
      <c r="M703" s="38"/>
      <c r="N703" s="38"/>
      <c r="O703" s="38"/>
      <c r="P703" s="38"/>
    </row>
    <row r="704" ht="15.75" customHeight="1">
      <c r="D704" s="38"/>
      <c r="E704" s="38"/>
      <c r="F704" s="38"/>
      <c r="G704" s="38"/>
      <c r="H704" s="38"/>
      <c r="I704" s="38"/>
      <c r="J704" s="38"/>
      <c r="K704" s="38"/>
      <c r="L704" s="55"/>
      <c r="M704" s="38"/>
      <c r="N704" s="38"/>
      <c r="O704" s="38"/>
      <c r="P704" s="38"/>
    </row>
    <row r="705" ht="15.75" customHeight="1">
      <c r="D705" s="38"/>
      <c r="E705" s="38"/>
      <c r="F705" s="38"/>
      <c r="G705" s="38"/>
      <c r="H705" s="38"/>
      <c r="I705" s="38"/>
      <c r="J705" s="38"/>
      <c r="K705" s="38"/>
      <c r="L705" s="55"/>
      <c r="M705" s="38"/>
      <c r="N705" s="38"/>
      <c r="O705" s="38"/>
      <c r="P705" s="38"/>
    </row>
    <row r="706" ht="15.75" customHeight="1">
      <c r="D706" s="38"/>
      <c r="E706" s="38"/>
      <c r="F706" s="38"/>
      <c r="G706" s="38"/>
      <c r="H706" s="38"/>
      <c r="I706" s="38"/>
      <c r="J706" s="38"/>
      <c r="K706" s="38"/>
      <c r="L706" s="55"/>
      <c r="M706" s="38"/>
      <c r="N706" s="38"/>
      <c r="O706" s="38"/>
      <c r="P706" s="38"/>
    </row>
    <row r="707" ht="15.75" customHeight="1">
      <c r="D707" s="38"/>
      <c r="E707" s="38"/>
      <c r="F707" s="38"/>
      <c r="G707" s="38"/>
      <c r="H707" s="38"/>
      <c r="I707" s="38"/>
      <c r="J707" s="38"/>
      <c r="K707" s="38"/>
      <c r="L707" s="55"/>
      <c r="M707" s="38"/>
      <c r="N707" s="38"/>
      <c r="O707" s="38"/>
      <c r="P707" s="38"/>
    </row>
    <row r="708" ht="15.75" customHeight="1">
      <c r="D708" s="38"/>
      <c r="E708" s="38"/>
      <c r="F708" s="38"/>
      <c r="G708" s="38"/>
      <c r="H708" s="38"/>
      <c r="I708" s="38"/>
      <c r="J708" s="38"/>
      <c r="K708" s="38"/>
      <c r="L708" s="55"/>
      <c r="M708" s="38"/>
      <c r="N708" s="38"/>
      <c r="O708" s="38"/>
      <c r="P708" s="38"/>
    </row>
    <row r="709" ht="15.75" customHeight="1">
      <c r="D709" s="38"/>
      <c r="E709" s="38"/>
      <c r="F709" s="38"/>
      <c r="G709" s="38"/>
      <c r="H709" s="38"/>
      <c r="I709" s="38"/>
      <c r="J709" s="38"/>
      <c r="K709" s="38"/>
      <c r="L709" s="55"/>
      <c r="M709" s="38"/>
      <c r="N709" s="38"/>
      <c r="O709" s="38"/>
      <c r="P709" s="38"/>
    </row>
    <row r="710" ht="15.75" customHeight="1">
      <c r="D710" s="38"/>
      <c r="E710" s="38"/>
      <c r="F710" s="38"/>
      <c r="G710" s="38"/>
      <c r="H710" s="38"/>
      <c r="I710" s="38"/>
      <c r="J710" s="38"/>
      <c r="K710" s="38"/>
      <c r="L710" s="55"/>
      <c r="M710" s="38"/>
      <c r="N710" s="38"/>
      <c r="O710" s="38"/>
      <c r="P710" s="38"/>
    </row>
    <row r="711" ht="15.75" customHeight="1">
      <c r="D711" s="38"/>
      <c r="E711" s="38"/>
      <c r="F711" s="38"/>
      <c r="G711" s="38"/>
      <c r="H711" s="38"/>
      <c r="I711" s="38"/>
      <c r="J711" s="38"/>
      <c r="K711" s="38"/>
      <c r="L711" s="55"/>
      <c r="M711" s="38"/>
      <c r="N711" s="38"/>
      <c r="O711" s="38"/>
      <c r="P711" s="38"/>
    </row>
    <row r="712" ht="15.75" customHeight="1">
      <c r="D712" s="38"/>
      <c r="E712" s="38"/>
      <c r="F712" s="38"/>
      <c r="G712" s="38"/>
      <c r="H712" s="38"/>
      <c r="I712" s="38"/>
      <c r="J712" s="38"/>
      <c r="K712" s="38"/>
      <c r="L712" s="55"/>
      <c r="M712" s="38"/>
      <c r="N712" s="38"/>
      <c r="O712" s="38"/>
      <c r="P712" s="38"/>
    </row>
    <row r="713" ht="15.75" customHeight="1">
      <c r="D713" s="38"/>
      <c r="E713" s="38"/>
      <c r="F713" s="38"/>
      <c r="G713" s="38"/>
      <c r="H713" s="38"/>
      <c r="I713" s="38"/>
      <c r="J713" s="38"/>
      <c r="K713" s="38"/>
      <c r="L713" s="55"/>
      <c r="M713" s="38"/>
      <c r="N713" s="38"/>
      <c r="O713" s="38"/>
      <c r="P713" s="38"/>
    </row>
    <row r="714" ht="15.75" customHeight="1">
      <c r="D714" s="38"/>
      <c r="E714" s="38"/>
      <c r="F714" s="38"/>
      <c r="G714" s="38"/>
      <c r="H714" s="38"/>
      <c r="I714" s="38"/>
      <c r="J714" s="38"/>
      <c r="K714" s="38"/>
      <c r="L714" s="55"/>
      <c r="M714" s="38"/>
      <c r="N714" s="38"/>
      <c r="O714" s="38"/>
      <c r="P714" s="38"/>
    </row>
    <row r="715" ht="15.75" customHeight="1">
      <c r="D715" s="38"/>
      <c r="E715" s="38"/>
      <c r="F715" s="38"/>
      <c r="G715" s="38"/>
      <c r="H715" s="38"/>
      <c r="I715" s="38"/>
      <c r="J715" s="38"/>
      <c r="K715" s="38"/>
      <c r="L715" s="55"/>
      <c r="M715" s="38"/>
      <c r="N715" s="38"/>
      <c r="O715" s="38"/>
      <c r="P715" s="38"/>
    </row>
    <row r="716" ht="15.75" customHeight="1">
      <c r="D716" s="38"/>
      <c r="E716" s="38"/>
      <c r="F716" s="38"/>
      <c r="G716" s="38"/>
      <c r="H716" s="38"/>
      <c r="I716" s="38"/>
      <c r="J716" s="38"/>
      <c r="K716" s="38"/>
      <c r="L716" s="55"/>
      <c r="M716" s="38"/>
      <c r="N716" s="38"/>
      <c r="O716" s="38"/>
      <c r="P716" s="38"/>
    </row>
    <row r="717" ht="15.75" customHeight="1">
      <c r="D717" s="38"/>
      <c r="E717" s="38"/>
      <c r="F717" s="38"/>
      <c r="G717" s="38"/>
      <c r="H717" s="38"/>
      <c r="I717" s="38"/>
      <c r="J717" s="38"/>
      <c r="K717" s="38"/>
      <c r="L717" s="55"/>
      <c r="M717" s="38"/>
      <c r="N717" s="38"/>
      <c r="O717" s="38"/>
      <c r="P717" s="38"/>
    </row>
    <row r="718" ht="15.75" customHeight="1">
      <c r="D718" s="38"/>
      <c r="E718" s="38"/>
      <c r="F718" s="38"/>
      <c r="G718" s="38"/>
      <c r="H718" s="38"/>
      <c r="I718" s="38"/>
      <c r="J718" s="38"/>
      <c r="K718" s="38"/>
      <c r="L718" s="55"/>
      <c r="M718" s="38"/>
      <c r="N718" s="38"/>
      <c r="O718" s="38"/>
      <c r="P718" s="38"/>
    </row>
    <row r="719" ht="15.75" customHeight="1">
      <c r="D719" s="38"/>
      <c r="E719" s="38"/>
      <c r="F719" s="38"/>
      <c r="G719" s="38"/>
      <c r="H719" s="38"/>
      <c r="I719" s="38"/>
      <c r="J719" s="38"/>
      <c r="K719" s="38"/>
      <c r="L719" s="55"/>
      <c r="M719" s="38"/>
      <c r="N719" s="38"/>
      <c r="O719" s="38"/>
      <c r="P719" s="38"/>
    </row>
    <row r="720" ht="15.75" customHeight="1">
      <c r="D720" s="38"/>
      <c r="E720" s="38"/>
      <c r="F720" s="38"/>
      <c r="G720" s="38"/>
      <c r="H720" s="38"/>
      <c r="I720" s="38"/>
      <c r="J720" s="38"/>
      <c r="K720" s="38"/>
      <c r="L720" s="55"/>
      <c r="M720" s="38"/>
      <c r="N720" s="38"/>
      <c r="O720" s="38"/>
      <c r="P720" s="38"/>
    </row>
    <row r="721" ht="15.75" customHeight="1">
      <c r="D721" s="38"/>
      <c r="E721" s="38"/>
      <c r="F721" s="38"/>
      <c r="G721" s="38"/>
      <c r="H721" s="38"/>
      <c r="I721" s="38"/>
      <c r="J721" s="38"/>
      <c r="K721" s="38"/>
      <c r="L721" s="55"/>
      <c r="M721" s="38"/>
      <c r="N721" s="38"/>
      <c r="O721" s="38"/>
      <c r="P721" s="38"/>
    </row>
    <row r="722" ht="15.75" customHeight="1">
      <c r="D722" s="38"/>
      <c r="E722" s="38"/>
      <c r="F722" s="38"/>
      <c r="G722" s="38"/>
      <c r="H722" s="38"/>
      <c r="I722" s="38"/>
      <c r="J722" s="38"/>
      <c r="K722" s="38"/>
      <c r="L722" s="55"/>
      <c r="M722" s="38"/>
      <c r="N722" s="38"/>
      <c r="O722" s="38"/>
      <c r="P722" s="38"/>
    </row>
    <row r="723" ht="15.75" customHeight="1">
      <c r="D723" s="38"/>
      <c r="E723" s="38"/>
      <c r="F723" s="38"/>
      <c r="G723" s="38"/>
      <c r="H723" s="38"/>
      <c r="I723" s="38"/>
      <c r="J723" s="38"/>
      <c r="K723" s="38"/>
      <c r="L723" s="55"/>
      <c r="M723" s="38"/>
      <c r="N723" s="38"/>
      <c r="O723" s="38"/>
      <c r="P723" s="38"/>
    </row>
    <row r="724" ht="15.75" customHeight="1">
      <c r="D724" s="38"/>
      <c r="E724" s="38"/>
      <c r="F724" s="38"/>
      <c r="G724" s="38"/>
      <c r="H724" s="38"/>
      <c r="I724" s="38"/>
      <c r="J724" s="38"/>
      <c r="K724" s="38"/>
      <c r="L724" s="55"/>
      <c r="M724" s="38"/>
      <c r="N724" s="38"/>
      <c r="O724" s="38"/>
      <c r="P724" s="38"/>
    </row>
    <row r="725" ht="15.75" customHeight="1">
      <c r="D725" s="38"/>
      <c r="E725" s="38"/>
      <c r="F725" s="38"/>
      <c r="G725" s="38"/>
      <c r="H725" s="38"/>
      <c r="I725" s="38"/>
      <c r="J725" s="38"/>
      <c r="K725" s="38"/>
      <c r="L725" s="55"/>
      <c r="M725" s="38"/>
      <c r="N725" s="38"/>
      <c r="O725" s="38"/>
      <c r="P725" s="38"/>
    </row>
    <row r="726" ht="15.75" customHeight="1">
      <c r="D726" s="38"/>
      <c r="E726" s="38"/>
      <c r="F726" s="38"/>
      <c r="G726" s="38"/>
      <c r="H726" s="38"/>
      <c r="I726" s="38"/>
      <c r="J726" s="38"/>
      <c r="K726" s="38"/>
      <c r="L726" s="55"/>
      <c r="M726" s="38"/>
      <c r="N726" s="38"/>
      <c r="O726" s="38"/>
      <c r="P726" s="38"/>
    </row>
    <row r="727" ht="15.75" customHeight="1">
      <c r="D727" s="38"/>
      <c r="E727" s="38"/>
      <c r="F727" s="38"/>
      <c r="G727" s="38"/>
      <c r="H727" s="38"/>
      <c r="I727" s="38"/>
      <c r="J727" s="38"/>
      <c r="K727" s="38"/>
      <c r="L727" s="55"/>
      <c r="M727" s="38"/>
      <c r="N727" s="38"/>
      <c r="O727" s="38"/>
      <c r="P727" s="38"/>
    </row>
    <row r="728" ht="15.75" customHeight="1">
      <c r="D728" s="38"/>
      <c r="E728" s="38"/>
      <c r="F728" s="38"/>
      <c r="G728" s="38"/>
      <c r="H728" s="38"/>
      <c r="I728" s="38"/>
      <c r="J728" s="38"/>
      <c r="K728" s="38"/>
      <c r="L728" s="55"/>
      <c r="M728" s="38"/>
      <c r="N728" s="38"/>
      <c r="O728" s="38"/>
      <c r="P728" s="38"/>
    </row>
    <row r="729" ht="15.75" customHeight="1">
      <c r="D729" s="38"/>
      <c r="E729" s="38"/>
      <c r="F729" s="38"/>
      <c r="G729" s="38"/>
      <c r="H729" s="38"/>
      <c r="I729" s="38"/>
      <c r="J729" s="38"/>
      <c r="K729" s="38"/>
      <c r="L729" s="55"/>
      <c r="M729" s="38"/>
      <c r="N729" s="38"/>
      <c r="O729" s="38"/>
      <c r="P729" s="38"/>
    </row>
    <row r="730" ht="15.75" customHeight="1">
      <c r="D730" s="38"/>
      <c r="E730" s="38"/>
      <c r="F730" s="38"/>
      <c r="G730" s="38"/>
      <c r="H730" s="38"/>
      <c r="I730" s="38"/>
      <c r="J730" s="38"/>
      <c r="K730" s="38"/>
      <c r="L730" s="55"/>
      <c r="M730" s="38"/>
      <c r="N730" s="38"/>
      <c r="O730" s="38"/>
      <c r="P730" s="38"/>
    </row>
    <row r="731" ht="15.75" customHeight="1">
      <c r="D731" s="38"/>
      <c r="E731" s="38"/>
      <c r="F731" s="38"/>
      <c r="G731" s="38"/>
      <c r="H731" s="38"/>
      <c r="I731" s="38"/>
      <c r="J731" s="38"/>
      <c r="K731" s="38"/>
      <c r="L731" s="55"/>
      <c r="M731" s="38"/>
      <c r="N731" s="38"/>
      <c r="O731" s="38"/>
      <c r="P731" s="38"/>
    </row>
    <row r="732" ht="15.75" customHeight="1">
      <c r="D732" s="38"/>
      <c r="E732" s="38"/>
      <c r="F732" s="38"/>
      <c r="G732" s="38"/>
      <c r="H732" s="38"/>
      <c r="I732" s="38"/>
      <c r="J732" s="38"/>
      <c r="K732" s="38"/>
      <c r="L732" s="55"/>
      <c r="M732" s="38"/>
      <c r="N732" s="38"/>
      <c r="O732" s="38"/>
      <c r="P732" s="38"/>
    </row>
    <row r="733" ht="15.75" customHeight="1">
      <c r="D733" s="38"/>
      <c r="E733" s="38"/>
      <c r="F733" s="38"/>
      <c r="G733" s="38"/>
      <c r="H733" s="38"/>
      <c r="I733" s="38"/>
      <c r="J733" s="38"/>
      <c r="K733" s="38"/>
      <c r="L733" s="55"/>
      <c r="M733" s="38"/>
      <c r="N733" s="38"/>
      <c r="O733" s="38"/>
      <c r="P733" s="38"/>
    </row>
    <row r="734" ht="15.75" customHeight="1">
      <c r="D734" s="38"/>
      <c r="E734" s="38"/>
      <c r="F734" s="38"/>
      <c r="G734" s="38"/>
      <c r="H734" s="38"/>
      <c r="I734" s="38"/>
      <c r="J734" s="38"/>
      <c r="K734" s="38"/>
      <c r="L734" s="55"/>
      <c r="M734" s="38"/>
      <c r="N734" s="38"/>
      <c r="O734" s="38"/>
      <c r="P734" s="38"/>
    </row>
    <row r="735" ht="15.75" customHeight="1">
      <c r="D735" s="38"/>
      <c r="E735" s="38"/>
      <c r="F735" s="38"/>
      <c r="G735" s="38"/>
      <c r="H735" s="38"/>
      <c r="I735" s="38"/>
      <c r="J735" s="38"/>
      <c r="K735" s="38"/>
      <c r="L735" s="55"/>
      <c r="M735" s="38"/>
      <c r="N735" s="38"/>
      <c r="O735" s="38"/>
      <c r="P735" s="38"/>
    </row>
    <row r="736" ht="15.75" customHeight="1">
      <c r="D736" s="38"/>
      <c r="E736" s="38"/>
      <c r="F736" s="38"/>
      <c r="G736" s="38"/>
      <c r="H736" s="38"/>
      <c r="I736" s="38"/>
      <c r="J736" s="38"/>
      <c r="K736" s="38"/>
      <c r="L736" s="55"/>
      <c r="M736" s="38"/>
      <c r="N736" s="38"/>
      <c r="O736" s="38"/>
      <c r="P736" s="38"/>
    </row>
    <row r="737" ht="15.75" customHeight="1">
      <c r="D737" s="38"/>
      <c r="E737" s="38"/>
      <c r="F737" s="38"/>
      <c r="G737" s="38"/>
      <c r="H737" s="38"/>
      <c r="I737" s="38"/>
      <c r="J737" s="38"/>
      <c r="K737" s="38"/>
      <c r="L737" s="55"/>
      <c r="M737" s="38"/>
      <c r="N737" s="38"/>
      <c r="O737" s="38"/>
      <c r="P737" s="38"/>
    </row>
    <row r="738" ht="15.75" customHeight="1">
      <c r="D738" s="38"/>
      <c r="E738" s="38"/>
      <c r="F738" s="38"/>
      <c r="G738" s="38"/>
      <c r="H738" s="38"/>
      <c r="I738" s="38"/>
      <c r="J738" s="38"/>
      <c r="K738" s="38"/>
      <c r="L738" s="55"/>
      <c r="M738" s="38"/>
      <c r="N738" s="38"/>
      <c r="O738" s="38"/>
      <c r="P738" s="38"/>
    </row>
    <row r="739" ht="15.75" customHeight="1">
      <c r="D739" s="38"/>
      <c r="E739" s="38"/>
      <c r="F739" s="38"/>
      <c r="G739" s="38"/>
      <c r="H739" s="38"/>
      <c r="I739" s="38"/>
      <c r="J739" s="38"/>
      <c r="K739" s="38"/>
      <c r="L739" s="55"/>
      <c r="M739" s="38"/>
      <c r="N739" s="38"/>
      <c r="O739" s="38"/>
      <c r="P739" s="38"/>
    </row>
    <row r="740" ht="15.75" customHeight="1">
      <c r="D740" s="38"/>
      <c r="E740" s="38"/>
      <c r="F740" s="38"/>
      <c r="G740" s="38"/>
      <c r="H740" s="38"/>
      <c r="I740" s="38"/>
      <c r="J740" s="38"/>
      <c r="K740" s="38"/>
      <c r="L740" s="55"/>
      <c r="M740" s="38"/>
      <c r="N740" s="38"/>
      <c r="O740" s="38"/>
      <c r="P740" s="38"/>
    </row>
    <row r="741" ht="15.75" customHeight="1">
      <c r="D741" s="38"/>
      <c r="E741" s="38"/>
      <c r="F741" s="38"/>
      <c r="G741" s="38"/>
      <c r="H741" s="38"/>
      <c r="I741" s="38"/>
      <c r="J741" s="38"/>
      <c r="K741" s="38"/>
      <c r="L741" s="55"/>
      <c r="M741" s="38"/>
      <c r="N741" s="38"/>
      <c r="O741" s="38"/>
      <c r="P741" s="38"/>
    </row>
    <row r="742" ht="15.75" customHeight="1">
      <c r="D742" s="38"/>
      <c r="E742" s="38"/>
      <c r="F742" s="38"/>
      <c r="G742" s="38"/>
      <c r="H742" s="38"/>
      <c r="I742" s="38"/>
      <c r="J742" s="38"/>
      <c r="K742" s="38"/>
      <c r="L742" s="55"/>
      <c r="M742" s="38"/>
      <c r="N742" s="38"/>
      <c r="O742" s="38"/>
      <c r="P742" s="38"/>
    </row>
    <row r="743" ht="15.75" customHeight="1">
      <c r="D743" s="38"/>
      <c r="E743" s="38"/>
      <c r="F743" s="38"/>
      <c r="G743" s="38"/>
      <c r="H743" s="38"/>
      <c r="I743" s="38"/>
      <c r="J743" s="38"/>
      <c r="K743" s="38"/>
      <c r="L743" s="55"/>
      <c r="M743" s="38"/>
      <c r="N743" s="38"/>
      <c r="O743" s="38"/>
      <c r="P743" s="38"/>
    </row>
    <row r="744" ht="15.75" customHeight="1">
      <c r="D744" s="38"/>
      <c r="E744" s="38"/>
      <c r="F744" s="38"/>
      <c r="G744" s="38"/>
      <c r="H744" s="38"/>
      <c r="I744" s="38"/>
      <c r="J744" s="38"/>
      <c r="K744" s="38"/>
      <c r="L744" s="55"/>
      <c r="M744" s="38"/>
      <c r="N744" s="38"/>
      <c r="O744" s="38"/>
      <c r="P744" s="38"/>
    </row>
    <row r="745" ht="15.75" customHeight="1">
      <c r="D745" s="38"/>
      <c r="E745" s="38"/>
      <c r="F745" s="38"/>
      <c r="G745" s="38"/>
      <c r="H745" s="38"/>
      <c r="I745" s="38"/>
      <c r="J745" s="38"/>
      <c r="K745" s="38"/>
      <c r="L745" s="55"/>
      <c r="M745" s="38"/>
      <c r="N745" s="38"/>
      <c r="O745" s="38"/>
      <c r="P745" s="38"/>
    </row>
    <row r="746" ht="15.75" customHeight="1">
      <c r="D746" s="38"/>
      <c r="E746" s="38"/>
      <c r="F746" s="38"/>
      <c r="G746" s="38"/>
      <c r="H746" s="38"/>
      <c r="I746" s="38"/>
      <c r="J746" s="38"/>
      <c r="K746" s="38"/>
      <c r="L746" s="55"/>
      <c r="M746" s="38"/>
      <c r="N746" s="38"/>
      <c r="O746" s="38"/>
      <c r="P746" s="38"/>
    </row>
    <row r="747" ht="15.75" customHeight="1">
      <c r="D747" s="38"/>
      <c r="E747" s="38"/>
      <c r="F747" s="38"/>
      <c r="G747" s="38"/>
      <c r="H747" s="38"/>
      <c r="I747" s="38"/>
      <c r="J747" s="38"/>
      <c r="K747" s="38"/>
      <c r="L747" s="55"/>
      <c r="M747" s="38"/>
      <c r="N747" s="38"/>
      <c r="O747" s="38"/>
      <c r="P747" s="38"/>
    </row>
    <row r="748" ht="15.75" customHeight="1">
      <c r="D748" s="38"/>
      <c r="E748" s="38"/>
      <c r="F748" s="38"/>
      <c r="G748" s="38"/>
      <c r="H748" s="38"/>
      <c r="I748" s="38"/>
      <c r="J748" s="38"/>
      <c r="K748" s="38"/>
      <c r="L748" s="55"/>
      <c r="M748" s="38"/>
      <c r="N748" s="38"/>
      <c r="O748" s="38"/>
      <c r="P748" s="38"/>
    </row>
    <row r="749" ht="15.75" customHeight="1">
      <c r="D749" s="38"/>
      <c r="E749" s="38"/>
      <c r="F749" s="38"/>
      <c r="G749" s="38"/>
      <c r="H749" s="38"/>
      <c r="I749" s="38"/>
      <c r="J749" s="38"/>
      <c r="K749" s="38"/>
      <c r="L749" s="55"/>
      <c r="M749" s="38"/>
      <c r="N749" s="38"/>
      <c r="O749" s="38"/>
      <c r="P749" s="38"/>
    </row>
    <row r="750" ht="15.75" customHeight="1">
      <c r="D750" s="38"/>
      <c r="E750" s="38"/>
      <c r="F750" s="38"/>
      <c r="G750" s="38"/>
      <c r="H750" s="38"/>
      <c r="I750" s="38"/>
      <c r="J750" s="38"/>
      <c r="K750" s="38"/>
      <c r="L750" s="55"/>
      <c r="M750" s="38"/>
      <c r="N750" s="38"/>
      <c r="O750" s="38"/>
      <c r="P750" s="38"/>
    </row>
    <row r="751" ht="15.75" customHeight="1">
      <c r="D751" s="38"/>
      <c r="E751" s="38"/>
      <c r="F751" s="38"/>
      <c r="G751" s="38"/>
      <c r="H751" s="38"/>
      <c r="I751" s="38"/>
      <c r="J751" s="38"/>
      <c r="K751" s="38"/>
      <c r="L751" s="55"/>
      <c r="M751" s="38"/>
      <c r="N751" s="38"/>
      <c r="O751" s="38"/>
      <c r="P751" s="38"/>
    </row>
    <row r="752" ht="15.75" customHeight="1">
      <c r="D752" s="38"/>
      <c r="E752" s="38"/>
      <c r="F752" s="38"/>
      <c r="G752" s="38"/>
      <c r="H752" s="38"/>
      <c r="I752" s="38"/>
      <c r="J752" s="38"/>
      <c r="K752" s="38"/>
      <c r="L752" s="55"/>
      <c r="M752" s="38"/>
      <c r="N752" s="38"/>
      <c r="O752" s="38"/>
      <c r="P752" s="38"/>
    </row>
    <row r="753" ht="15.75" customHeight="1">
      <c r="D753" s="38"/>
      <c r="E753" s="38"/>
      <c r="F753" s="38"/>
      <c r="G753" s="38"/>
      <c r="H753" s="38"/>
      <c r="I753" s="38"/>
      <c r="J753" s="38"/>
      <c r="K753" s="38"/>
      <c r="L753" s="55"/>
      <c r="M753" s="38"/>
      <c r="N753" s="38"/>
      <c r="O753" s="38"/>
      <c r="P753" s="38"/>
    </row>
    <row r="754" ht="15.75" customHeight="1">
      <c r="D754" s="38"/>
      <c r="E754" s="38"/>
      <c r="F754" s="38"/>
      <c r="G754" s="38"/>
      <c r="H754" s="38"/>
      <c r="I754" s="38"/>
      <c r="J754" s="38"/>
      <c r="K754" s="38"/>
      <c r="L754" s="55"/>
      <c r="M754" s="38"/>
      <c r="N754" s="38"/>
      <c r="O754" s="38"/>
      <c r="P754" s="38"/>
    </row>
    <row r="755" ht="15.75" customHeight="1">
      <c r="D755" s="38"/>
      <c r="E755" s="38"/>
      <c r="F755" s="38"/>
      <c r="G755" s="38"/>
      <c r="H755" s="38"/>
      <c r="I755" s="38"/>
      <c r="J755" s="38"/>
      <c r="K755" s="38"/>
      <c r="L755" s="55"/>
      <c r="M755" s="38"/>
      <c r="N755" s="38"/>
      <c r="O755" s="38"/>
      <c r="P755" s="38"/>
    </row>
    <row r="756" ht="15.75" customHeight="1">
      <c r="D756" s="38"/>
      <c r="E756" s="38"/>
      <c r="F756" s="38"/>
      <c r="G756" s="38"/>
      <c r="H756" s="38"/>
      <c r="I756" s="38"/>
      <c r="J756" s="38"/>
      <c r="K756" s="38"/>
      <c r="L756" s="55"/>
      <c r="M756" s="38"/>
      <c r="N756" s="38"/>
      <c r="O756" s="38"/>
      <c r="P756" s="38"/>
    </row>
    <row r="757" ht="15.75" customHeight="1">
      <c r="D757" s="38"/>
      <c r="E757" s="38"/>
      <c r="F757" s="38"/>
      <c r="G757" s="38"/>
      <c r="H757" s="38"/>
      <c r="I757" s="38"/>
      <c r="J757" s="38"/>
      <c r="K757" s="38"/>
      <c r="L757" s="55"/>
      <c r="M757" s="38"/>
      <c r="N757" s="38"/>
      <c r="O757" s="38"/>
      <c r="P757" s="38"/>
    </row>
    <row r="758" ht="15.75" customHeight="1">
      <c r="D758" s="38"/>
      <c r="E758" s="38"/>
      <c r="F758" s="38"/>
      <c r="G758" s="38"/>
      <c r="H758" s="38"/>
      <c r="I758" s="38"/>
      <c r="J758" s="38"/>
      <c r="K758" s="38"/>
      <c r="L758" s="55"/>
      <c r="M758" s="38"/>
      <c r="N758" s="38"/>
      <c r="O758" s="38"/>
      <c r="P758" s="38"/>
    </row>
    <row r="759" ht="15.75" customHeight="1">
      <c r="D759" s="38"/>
      <c r="E759" s="38"/>
      <c r="F759" s="38"/>
      <c r="G759" s="38"/>
      <c r="H759" s="38"/>
      <c r="I759" s="38"/>
      <c r="J759" s="38"/>
      <c r="K759" s="38"/>
      <c r="L759" s="55"/>
      <c r="M759" s="38"/>
      <c r="N759" s="38"/>
      <c r="O759" s="38"/>
      <c r="P759" s="38"/>
    </row>
    <row r="760" ht="15.75" customHeight="1">
      <c r="D760" s="38"/>
      <c r="E760" s="38"/>
      <c r="F760" s="38"/>
      <c r="G760" s="38"/>
      <c r="H760" s="38"/>
      <c r="I760" s="38"/>
      <c r="J760" s="38"/>
      <c r="K760" s="38"/>
      <c r="L760" s="55"/>
      <c r="M760" s="38"/>
      <c r="N760" s="38"/>
      <c r="O760" s="38"/>
      <c r="P760" s="38"/>
    </row>
    <row r="761" ht="15.75" customHeight="1">
      <c r="D761" s="38"/>
      <c r="E761" s="38"/>
      <c r="F761" s="38"/>
      <c r="G761" s="38"/>
      <c r="H761" s="38"/>
      <c r="I761" s="38"/>
      <c r="J761" s="38"/>
      <c r="K761" s="38"/>
      <c r="L761" s="55"/>
      <c r="M761" s="38"/>
      <c r="N761" s="38"/>
      <c r="O761" s="38"/>
      <c r="P761" s="38"/>
    </row>
    <row r="762" ht="15.75" customHeight="1">
      <c r="D762" s="38"/>
      <c r="E762" s="38"/>
      <c r="F762" s="38"/>
      <c r="G762" s="38"/>
      <c r="H762" s="38"/>
      <c r="I762" s="38"/>
      <c r="J762" s="38"/>
      <c r="K762" s="38"/>
      <c r="L762" s="55"/>
      <c r="M762" s="38"/>
      <c r="N762" s="38"/>
      <c r="O762" s="38"/>
      <c r="P762" s="38"/>
    </row>
    <row r="763" ht="15.75" customHeight="1">
      <c r="D763" s="38"/>
      <c r="E763" s="38"/>
      <c r="F763" s="38"/>
      <c r="G763" s="38"/>
      <c r="H763" s="38"/>
      <c r="I763" s="38"/>
      <c r="J763" s="38"/>
      <c r="K763" s="38"/>
      <c r="L763" s="55"/>
      <c r="M763" s="38"/>
      <c r="N763" s="38"/>
      <c r="O763" s="38"/>
      <c r="P763" s="38"/>
    </row>
    <row r="764" ht="15.75" customHeight="1">
      <c r="D764" s="38"/>
      <c r="E764" s="38"/>
      <c r="F764" s="38"/>
      <c r="G764" s="38"/>
      <c r="H764" s="38"/>
      <c r="I764" s="38"/>
      <c r="J764" s="38"/>
      <c r="K764" s="38"/>
      <c r="L764" s="55"/>
      <c r="M764" s="38"/>
      <c r="N764" s="38"/>
      <c r="O764" s="38"/>
      <c r="P764" s="38"/>
    </row>
    <row r="765" ht="15.75" customHeight="1">
      <c r="D765" s="38"/>
      <c r="E765" s="38"/>
      <c r="F765" s="38"/>
      <c r="G765" s="38"/>
      <c r="H765" s="38"/>
      <c r="I765" s="38"/>
      <c r="J765" s="38"/>
      <c r="K765" s="38"/>
      <c r="L765" s="55"/>
      <c r="M765" s="38"/>
      <c r="N765" s="38"/>
      <c r="O765" s="38"/>
      <c r="P765" s="38"/>
    </row>
    <row r="766" ht="15.75" customHeight="1">
      <c r="D766" s="38"/>
      <c r="E766" s="38"/>
      <c r="F766" s="38"/>
      <c r="G766" s="38"/>
      <c r="H766" s="38"/>
      <c r="I766" s="38"/>
      <c r="J766" s="38"/>
      <c r="K766" s="38"/>
      <c r="L766" s="55"/>
      <c r="M766" s="38"/>
      <c r="N766" s="38"/>
      <c r="O766" s="38"/>
      <c r="P766" s="38"/>
    </row>
    <row r="767" ht="15.75" customHeight="1">
      <c r="D767" s="38"/>
      <c r="E767" s="38"/>
      <c r="F767" s="38"/>
      <c r="G767" s="38"/>
      <c r="H767" s="38"/>
      <c r="I767" s="38"/>
      <c r="J767" s="38"/>
      <c r="K767" s="38"/>
      <c r="L767" s="55"/>
      <c r="M767" s="38"/>
      <c r="N767" s="38"/>
      <c r="O767" s="38"/>
      <c r="P767" s="38"/>
    </row>
    <row r="768" ht="15.75" customHeight="1">
      <c r="D768" s="38"/>
      <c r="E768" s="38"/>
      <c r="F768" s="38"/>
      <c r="G768" s="38"/>
      <c r="H768" s="38"/>
      <c r="I768" s="38"/>
      <c r="J768" s="38"/>
      <c r="K768" s="38"/>
      <c r="L768" s="55"/>
      <c r="M768" s="38"/>
      <c r="N768" s="38"/>
      <c r="O768" s="38"/>
      <c r="P768" s="38"/>
    </row>
    <row r="769" ht="15.75" customHeight="1">
      <c r="D769" s="38"/>
      <c r="E769" s="38"/>
      <c r="F769" s="38"/>
      <c r="G769" s="38"/>
      <c r="H769" s="38"/>
      <c r="I769" s="38"/>
      <c r="J769" s="38"/>
      <c r="K769" s="38"/>
      <c r="L769" s="55"/>
      <c r="M769" s="38"/>
      <c r="N769" s="38"/>
      <c r="O769" s="38"/>
      <c r="P769" s="38"/>
    </row>
    <row r="770" ht="15.75" customHeight="1">
      <c r="D770" s="38"/>
      <c r="E770" s="38"/>
      <c r="F770" s="38"/>
      <c r="G770" s="38"/>
      <c r="H770" s="38"/>
      <c r="I770" s="38"/>
      <c r="J770" s="38"/>
      <c r="K770" s="38"/>
      <c r="L770" s="55"/>
      <c r="M770" s="38"/>
      <c r="N770" s="38"/>
      <c r="O770" s="38"/>
      <c r="P770" s="38"/>
    </row>
    <row r="771" ht="15.75" customHeight="1">
      <c r="D771" s="38"/>
      <c r="E771" s="38"/>
      <c r="F771" s="38"/>
      <c r="G771" s="38"/>
      <c r="H771" s="38"/>
      <c r="I771" s="38"/>
      <c r="J771" s="38"/>
      <c r="K771" s="38"/>
      <c r="L771" s="55"/>
      <c r="M771" s="38"/>
      <c r="N771" s="38"/>
      <c r="O771" s="38"/>
      <c r="P771" s="38"/>
    </row>
    <row r="772" ht="15.75" customHeight="1">
      <c r="D772" s="38"/>
      <c r="E772" s="38"/>
      <c r="F772" s="38"/>
      <c r="G772" s="38"/>
      <c r="H772" s="38"/>
      <c r="I772" s="38"/>
      <c r="J772" s="38"/>
      <c r="K772" s="38"/>
      <c r="L772" s="55"/>
      <c r="M772" s="38"/>
      <c r="N772" s="38"/>
      <c r="O772" s="38"/>
      <c r="P772" s="38"/>
    </row>
    <row r="773" ht="15.75" customHeight="1">
      <c r="D773" s="38"/>
      <c r="E773" s="38"/>
      <c r="F773" s="38"/>
      <c r="G773" s="38"/>
      <c r="H773" s="38"/>
      <c r="I773" s="38"/>
      <c r="J773" s="38"/>
      <c r="K773" s="38"/>
      <c r="L773" s="55"/>
      <c r="M773" s="38"/>
      <c r="N773" s="38"/>
      <c r="O773" s="38"/>
      <c r="P773" s="38"/>
    </row>
    <row r="774" ht="15.75" customHeight="1">
      <c r="D774" s="38"/>
      <c r="E774" s="38"/>
      <c r="F774" s="38"/>
      <c r="G774" s="38"/>
      <c r="H774" s="38"/>
      <c r="I774" s="38"/>
      <c r="J774" s="38"/>
      <c r="K774" s="38"/>
      <c r="L774" s="55"/>
      <c r="M774" s="38"/>
      <c r="N774" s="38"/>
      <c r="O774" s="38"/>
      <c r="P774" s="38"/>
    </row>
    <row r="775" ht="15.75" customHeight="1">
      <c r="D775" s="38"/>
      <c r="E775" s="38"/>
      <c r="F775" s="38"/>
      <c r="G775" s="38"/>
      <c r="H775" s="38"/>
      <c r="I775" s="38"/>
      <c r="J775" s="38"/>
      <c r="K775" s="38"/>
      <c r="L775" s="55"/>
      <c r="M775" s="38"/>
      <c r="N775" s="38"/>
      <c r="O775" s="38"/>
      <c r="P775" s="38"/>
    </row>
    <row r="776" ht="15.75" customHeight="1">
      <c r="D776" s="38"/>
      <c r="E776" s="38"/>
      <c r="F776" s="38"/>
      <c r="G776" s="38"/>
      <c r="H776" s="38"/>
      <c r="I776" s="38"/>
      <c r="J776" s="38"/>
      <c r="K776" s="38"/>
      <c r="L776" s="55"/>
      <c r="M776" s="38"/>
      <c r="N776" s="38"/>
      <c r="O776" s="38"/>
      <c r="P776" s="38"/>
    </row>
    <row r="777" ht="15.75" customHeight="1">
      <c r="D777" s="38"/>
      <c r="E777" s="38"/>
      <c r="F777" s="38"/>
      <c r="G777" s="38"/>
      <c r="H777" s="38"/>
      <c r="I777" s="38"/>
      <c r="J777" s="38"/>
      <c r="K777" s="38"/>
      <c r="L777" s="55"/>
      <c r="M777" s="38"/>
      <c r="N777" s="38"/>
      <c r="O777" s="38"/>
      <c r="P777" s="38"/>
    </row>
    <row r="778" ht="15.75" customHeight="1">
      <c r="D778" s="38"/>
      <c r="E778" s="38"/>
      <c r="F778" s="38"/>
      <c r="G778" s="38"/>
      <c r="H778" s="38"/>
      <c r="I778" s="38"/>
      <c r="J778" s="38"/>
      <c r="K778" s="38"/>
      <c r="L778" s="55"/>
      <c r="M778" s="38"/>
      <c r="N778" s="38"/>
      <c r="O778" s="38"/>
      <c r="P778" s="38"/>
    </row>
    <row r="779" ht="15.75" customHeight="1">
      <c r="D779" s="38"/>
      <c r="E779" s="38"/>
      <c r="F779" s="38"/>
      <c r="G779" s="38"/>
      <c r="H779" s="38"/>
      <c r="I779" s="38"/>
      <c r="J779" s="38"/>
      <c r="K779" s="38"/>
      <c r="L779" s="55"/>
      <c r="M779" s="38"/>
      <c r="N779" s="38"/>
      <c r="O779" s="38"/>
      <c r="P779" s="38"/>
    </row>
    <row r="780" ht="15.75" customHeight="1">
      <c r="D780" s="38"/>
      <c r="E780" s="38"/>
      <c r="F780" s="38"/>
      <c r="G780" s="38"/>
      <c r="H780" s="38"/>
      <c r="I780" s="38"/>
      <c r="J780" s="38"/>
      <c r="K780" s="38"/>
      <c r="L780" s="55"/>
      <c r="M780" s="38"/>
      <c r="N780" s="38"/>
      <c r="O780" s="38"/>
      <c r="P780" s="38"/>
    </row>
    <row r="781" ht="15.75" customHeight="1">
      <c r="D781" s="38"/>
      <c r="E781" s="38"/>
      <c r="F781" s="38"/>
      <c r="G781" s="38"/>
      <c r="H781" s="38"/>
      <c r="I781" s="38"/>
      <c r="J781" s="38"/>
      <c r="K781" s="38"/>
      <c r="L781" s="55"/>
      <c r="M781" s="38"/>
      <c r="N781" s="38"/>
      <c r="O781" s="38"/>
      <c r="P781" s="38"/>
    </row>
    <row r="782" ht="15.75" customHeight="1">
      <c r="D782" s="38"/>
      <c r="E782" s="38"/>
      <c r="F782" s="38"/>
      <c r="G782" s="38"/>
      <c r="H782" s="38"/>
      <c r="I782" s="38"/>
      <c r="J782" s="38"/>
      <c r="K782" s="38"/>
      <c r="L782" s="55"/>
      <c r="M782" s="38"/>
      <c r="N782" s="38"/>
      <c r="O782" s="38"/>
      <c r="P782" s="38"/>
    </row>
    <row r="783" ht="15.75" customHeight="1">
      <c r="D783" s="38"/>
      <c r="E783" s="38"/>
      <c r="F783" s="38"/>
      <c r="G783" s="38"/>
      <c r="H783" s="38"/>
      <c r="I783" s="38"/>
      <c r="J783" s="38"/>
      <c r="K783" s="38"/>
      <c r="L783" s="55"/>
      <c r="M783" s="38"/>
      <c r="N783" s="38"/>
      <c r="O783" s="38"/>
      <c r="P783" s="38"/>
    </row>
    <row r="784" ht="15.75" customHeight="1">
      <c r="D784" s="38"/>
      <c r="E784" s="38"/>
      <c r="F784" s="38"/>
      <c r="G784" s="38"/>
      <c r="H784" s="38"/>
      <c r="I784" s="38"/>
      <c r="J784" s="38"/>
      <c r="K784" s="38"/>
      <c r="L784" s="55"/>
      <c r="M784" s="38"/>
      <c r="N784" s="38"/>
      <c r="O784" s="38"/>
      <c r="P784" s="38"/>
    </row>
    <row r="785" ht="15.75" customHeight="1">
      <c r="D785" s="38"/>
      <c r="E785" s="38"/>
      <c r="F785" s="38"/>
      <c r="G785" s="38"/>
      <c r="H785" s="38"/>
      <c r="I785" s="38"/>
      <c r="J785" s="38"/>
      <c r="K785" s="38"/>
      <c r="L785" s="55"/>
      <c r="M785" s="38"/>
      <c r="N785" s="38"/>
      <c r="O785" s="38"/>
      <c r="P785" s="38"/>
    </row>
    <row r="786" ht="15.75" customHeight="1">
      <c r="D786" s="38"/>
      <c r="E786" s="38"/>
      <c r="F786" s="38"/>
      <c r="G786" s="38"/>
      <c r="H786" s="38"/>
      <c r="I786" s="38"/>
      <c r="J786" s="38"/>
      <c r="K786" s="38"/>
      <c r="L786" s="55"/>
      <c r="M786" s="38"/>
      <c r="N786" s="38"/>
      <c r="O786" s="38"/>
      <c r="P786" s="38"/>
    </row>
    <row r="787" ht="15.75" customHeight="1">
      <c r="D787" s="38"/>
      <c r="E787" s="38"/>
      <c r="F787" s="38"/>
      <c r="G787" s="38"/>
      <c r="H787" s="38"/>
      <c r="I787" s="38"/>
      <c r="J787" s="38"/>
      <c r="K787" s="38"/>
      <c r="L787" s="55"/>
      <c r="M787" s="38"/>
      <c r="N787" s="38"/>
      <c r="O787" s="38"/>
      <c r="P787" s="38"/>
    </row>
    <row r="788" ht="15.75" customHeight="1">
      <c r="D788" s="38"/>
      <c r="E788" s="38"/>
      <c r="F788" s="38"/>
      <c r="G788" s="38"/>
      <c r="H788" s="38"/>
      <c r="I788" s="38"/>
      <c r="J788" s="38"/>
      <c r="K788" s="38"/>
      <c r="L788" s="55"/>
      <c r="M788" s="38"/>
      <c r="N788" s="38"/>
      <c r="O788" s="38"/>
      <c r="P788" s="38"/>
    </row>
    <row r="789" ht="15.75" customHeight="1">
      <c r="D789" s="38"/>
      <c r="E789" s="38"/>
      <c r="F789" s="38"/>
      <c r="G789" s="38"/>
      <c r="H789" s="38"/>
      <c r="I789" s="38"/>
      <c r="J789" s="38"/>
      <c r="K789" s="38"/>
      <c r="L789" s="55"/>
      <c r="M789" s="38"/>
      <c r="N789" s="38"/>
      <c r="O789" s="38"/>
      <c r="P789" s="38"/>
    </row>
    <row r="790" ht="15.75" customHeight="1">
      <c r="D790" s="38"/>
      <c r="E790" s="38"/>
      <c r="F790" s="38"/>
      <c r="G790" s="38"/>
      <c r="H790" s="38"/>
      <c r="I790" s="38"/>
      <c r="J790" s="38"/>
      <c r="K790" s="38"/>
      <c r="L790" s="55"/>
      <c r="M790" s="38"/>
      <c r="N790" s="38"/>
      <c r="O790" s="38"/>
      <c r="P790" s="38"/>
    </row>
    <row r="791" ht="15.75" customHeight="1">
      <c r="D791" s="38"/>
      <c r="E791" s="38"/>
      <c r="F791" s="38"/>
      <c r="G791" s="38"/>
      <c r="H791" s="38"/>
      <c r="I791" s="38"/>
      <c r="J791" s="38"/>
      <c r="K791" s="38"/>
      <c r="L791" s="55"/>
      <c r="M791" s="38"/>
      <c r="N791" s="38"/>
      <c r="O791" s="38"/>
      <c r="P791" s="38"/>
    </row>
    <row r="792" ht="15.75" customHeight="1">
      <c r="D792" s="38"/>
      <c r="E792" s="38"/>
      <c r="F792" s="38"/>
      <c r="G792" s="38"/>
      <c r="H792" s="38"/>
      <c r="I792" s="38"/>
      <c r="J792" s="38"/>
      <c r="K792" s="38"/>
      <c r="L792" s="55"/>
      <c r="M792" s="38"/>
      <c r="N792" s="38"/>
      <c r="O792" s="38"/>
      <c r="P792" s="38"/>
    </row>
    <row r="793" ht="15.75" customHeight="1">
      <c r="D793" s="38"/>
      <c r="E793" s="38"/>
      <c r="F793" s="38"/>
      <c r="G793" s="38"/>
      <c r="H793" s="38"/>
      <c r="I793" s="38"/>
      <c r="J793" s="38"/>
      <c r="K793" s="38"/>
      <c r="L793" s="55"/>
      <c r="M793" s="38"/>
      <c r="N793" s="38"/>
      <c r="O793" s="38"/>
      <c r="P793" s="38"/>
    </row>
    <row r="794" ht="15.75" customHeight="1">
      <c r="D794" s="38"/>
      <c r="E794" s="38"/>
      <c r="F794" s="38"/>
      <c r="G794" s="38"/>
      <c r="H794" s="38"/>
      <c r="I794" s="38"/>
      <c r="J794" s="38"/>
      <c r="K794" s="38"/>
      <c r="L794" s="55"/>
      <c r="M794" s="38"/>
      <c r="N794" s="38"/>
      <c r="O794" s="38"/>
      <c r="P794" s="38"/>
    </row>
    <row r="795" ht="15.75" customHeight="1">
      <c r="D795" s="38"/>
      <c r="E795" s="38"/>
      <c r="F795" s="38"/>
      <c r="G795" s="38"/>
      <c r="H795" s="38"/>
      <c r="I795" s="38"/>
      <c r="J795" s="38"/>
      <c r="K795" s="38"/>
      <c r="L795" s="55"/>
      <c r="M795" s="38"/>
      <c r="N795" s="38"/>
      <c r="O795" s="38"/>
      <c r="P795" s="38"/>
    </row>
    <row r="796" ht="15.75" customHeight="1">
      <c r="D796" s="38"/>
      <c r="E796" s="38"/>
      <c r="F796" s="38"/>
      <c r="G796" s="38"/>
      <c r="H796" s="38"/>
      <c r="I796" s="38"/>
      <c r="J796" s="38"/>
      <c r="K796" s="38"/>
      <c r="L796" s="55"/>
      <c r="M796" s="38"/>
      <c r="N796" s="38"/>
      <c r="O796" s="38"/>
      <c r="P796" s="38"/>
    </row>
    <row r="797" ht="15.75" customHeight="1">
      <c r="D797" s="38"/>
      <c r="E797" s="38"/>
      <c r="F797" s="38"/>
      <c r="G797" s="38"/>
      <c r="H797" s="38"/>
      <c r="I797" s="38"/>
      <c r="J797" s="38"/>
      <c r="K797" s="38"/>
      <c r="L797" s="55"/>
      <c r="M797" s="38"/>
      <c r="N797" s="38"/>
      <c r="O797" s="38"/>
      <c r="P797" s="38"/>
    </row>
    <row r="798" ht="15.75" customHeight="1">
      <c r="D798" s="38"/>
      <c r="E798" s="38"/>
      <c r="F798" s="38"/>
      <c r="G798" s="38"/>
      <c r="H798" s="38"/>
      <c r="I798" s="38"/>
      <c r="J798" s="38"/>
      <c r="K798" s="38"/>
      <c r="L798" s="55"/>
      <c r="M798" s="38"/>
      <c r="N798" s="38"/>
      <c r="O798" s="38"/>
      <c r="P798" s="38"/>
    </row>
    <row r="799" ht="15.75" customHeight="1">
      <c r="D799" s="38"/>
      <c r="E799" s="38"/>
      <c r="F799" s="38"/>
      <c r="G799" s="38"/>
      <c r="H799" s="38"/>
      <c r="I799" s="38"/>
      <c r="J799" s="38"/>
      <c r="K799" s="38"/>
      <c r="L799" s="55"/>
      <c r="M799" s="38"/>
      <c r="N799" s="38"/>
      <c r="O799" s="38"/>
      <c r="P799" s="38"/>
    </row>
    <row r="800" ht="15.75" customHeight="1">
      <c r="D800" s="38"/>
      <c r="E800" s="38"/>
      <c r="F800" s="38"/>
      <c r="G800" s="38"/>
      <c r="H800" s="38"/>
      <c r="I800" s="38"/>
      <c r="J800" s="38"/>
      <c r="K800" s="38"/>
      <c r="L800" s="55"/>
      <c r="M800" s="38"/>
      <c r="N800" s="38"/>
      <c r="O800" s="38"/>
      <c r="P800" s="38"/>
    </row>
    <row r="801" ht="15.75" customHeight="1">
      <c r="D801" s="38"/>
      <c r="E801" s="38"/>
      <c r="F801" s="38"/>
      <c r="G801" s="38"/>
      <c r="H801" s="38"/>
      <c r="I801" s="38"/>
      <c r="J801" s="38"/>
      <c r="K801" s="38"/>
      <c r="L801" s="55"/>
      <c r="M801" s="38"/>
      <c r="N801" s="38"/>
      <c r="O801" s="38"/>
      <c r="P801" s="38"/>
    </row>
    <row r="802" ht="15.75" customHeight="1">
      <c r="D802" s="38"/>
      <c r="E802" s="38"/>
      <c r="F802" s="38"/>
      <c r="G802" s="38"/>
      <c r="H802" s="38"/>
      <c r="I802" s="38"/>
      <c r="J802" s="38"/>
      <c r="K802" s="38"/>
      <c r="L802" s="55"/>
      <c r="M802" s="38"/>
      <c r="N802" s="38"/>
      <c r="O802" s="38"/>
      <c r="P802" s="38"/>
    </row>
    <row r="803" ht="15.75" customHeight="1">
      <c r="D803" s="38"/>
      <c r="E803" s="38"/>
      <c r="F803" s="38"/>
      <c r="G803" s="38"/>
      <c r="H803" s="38"/>
      <c r="I803" s="38"/>
      <c r="J803" s="38"/>
      <c r="K803" s="38"/>
      <c r="L803" s="55"/>
      <c r="M803" s="38"/>
      <c r="N803" s="38"/>
      <c r="O803" s="38"/>
      <c r="P803" s="38"/>
    </row>
    <row r="804" ht="15.75" customHeight="1">
      <c r="D804" s="38"/>
      <c r="E804" s="38"/>
      <c r="F804" s="38"/>
      <c r="G804" s="38"/>
      <c r="H804" s="38"/>
      <c r="I804" s="38"/>
      <c r="J804" s="38"/>
      <c r="K804" s="38"/>
      <c r="L804" s="55"/>
      <c r="M804" s="38"/>
      <c r="N804" s="38"/>
      <c r="O804" s="38"/>
      <c r="P804" s="38"/>
    </row>
    <row r="805" ht="15.75" customHeight="1">
      <c r="D805" s="38"/>
      <c r="E805" s="38"/>
      <c r="F805" s="38"/>
      <c r="G805" s="38"/>
      <c r="H805" s="38"/>
      <c r="I805" s="38"/>
      <c r="J805" s="38"/>
      <c r="K805" s="38"/>
      <c r="L805" s="55"/>
      <c r="M805" s="38"/>
      <c r="N805" s="38"/>
      <c r="O805" s="38"/>
      <c r="P805" s="38"/>
    </row>
    <row r="806" ht="15.75" customHeight="1">
      <c r="D806" s="38"/>
      <c r="E806" s="38"/>
      <c r="F806" s="38"/>
      <c r="G806" s="38"/>
      <c r="H806" s="38"/>
      <c r="I806" s="38"/>
      <c r="J806" s="38"/>
      <c r="K806" s="38"/>
      <c r="L806" s="55"/>
      <c r="M806" s="38"/>
      <c r="N806" s="38"/>
      <c r="O806" s="38"/>
      <c r="P806" s="38"/>
    </row>
    <row r="807" ht="15.75" customHeight="1">
      <c r="D807" s="38"/>
      <c r="E807" s="38"/>
      <c r="F807" s="38"/>
      <c r="G807" s="38"/>
      <c r="H807" s="38"/>
      <c r="I807" s="38"/>
      <c r="J807" s="38"/>
      <c r="K807" s="38"/>
      <c r="L807" s="55"/>
      <c r="M807" s="38"/>
      <c r="N807" s="38"/>
      <c r="O807" s="38"/>
      <c r="P807" s="38"/>
    </row>
    <row r="808" ht="15.75" customHeight="1">
      <c r="D808" s="38"/>
      <c r="E808" s="38"/>
      <c r="F808" s="38"/>
      <c r="G808" s="38"/>
      <c r="H808" s="38"/>
      <c r="I808" s="38"/>
      <c r="J808" s="38"/>
      <c r="K808" s="38"/>
      <c r="L808" s="55"/>
      <c r="M808" s="38"/>
      <c r="N808" s="38"/>
      <c r="O808" s="38"/>
      <c r="P808" s="38"/>
    </row>
    <row r="809" ht="15.75" customHeight="1">
      <c r="D809" s="38"/>
      <c r="E809" s="38"/>
      <c r="F809" s="38"/>
      <c r="G809" s="38"/>
      <c r="H809" s="38"/>
      <c r="I809" s="38"/>
      <c r="J809" s="38"/>
      <c r="K809" s="38"/>
      <c r="L809" s="55"/>
      <c r="M809" s="38"/>
      <c r="N809" s="38"/>
      <c r="O809" s="38"/>
      <c r="P809" s="38"/>
    </row>
    <row r="810" ht="15.75" customHeight="1">
      <c r="D810" s="38"/>
      <c r="E810" s="38"/>
      <c r="F810" s="38"/>
      <c r="G810" s="38"/>
      <c r="H810" s="38"/>
      <c r="I810" s="38"/>
      <c r="J810" s="38"/>
      <c r="K810" s="38"/>
      <c r="L810" s="55"/>
      <c r="M810" s="38"/>
      <c r="N810" s="38"/>
      <c r="O810" s="38"/>
      <c r="P810" s="38"/>
    </row>
    <row r="811" ht="15.75" customHeight="1">
      <c r="D811" s="38"/>
      <c r="E811" s="38"/>
      <c r="F811" s="38"/>
      <c r="G811" s="38"/>
      <c r="H811" s="38"/>
      <c r="I811" s="38"/>
      <c r="J811" s="38"/>
      <c r="K811" s="38"/>
      <c r="L811" s="55"/>
      <c r="M811" s="38"/>
      <c r="N811" s="38"/>
      <c r="O811" s="38"/>
      <c r="P811" s="38"/>
    </row>
    <row r="812" ht="15.75" customHeight="1">
      <c r="D812" s="38"/>
      <c r="E812" s="38"/>
      <c r="F812" s="38"/>
      <c r="G812" s="38"/>
      <c r="H812" s="38"/>
      <c r="I812" s="38"/>
      <c r="J812" s="38"/>
      <c r="K812" s="38"/>
      <c r="L812" s="55"/>
      <c r="M812" s="38"/>
      <c r="N812" s="38"/>
      <c r="O812" s="38"/>
      <c r="P812" s="38"/>
    </row>
    <row r="813" ht="15.75" customHeight="1">
      <c r="D813" s="38"/>
      <c r="E813" s="38"/>
      <c r="F813" s="38"/>
      <c r="G813" s="38"/>
      <c r="H813" s="38"/>
      <c r="I813" s="38"/>
      <c r="J813" s="38"/>
      <c r="K813" s="38"/>
      <c r="L813" s="55"/>
      <c r="M813" s="38"/>
      <c r="N813" s="38"/>
      <c r="O813" s="38"/>
      <c r="P813" s="38"/>
    </row>
    <row r="814" ht="15.75" customHeight="1">
      <c r="D814" s="38"/>
      <c r="E814" s="38"/>
      <c r="F814" s="38"/>
      <c r="G814" s="38"/>
      <c r="H814" s="38"/>
      <c r="I814" s="38"/>
      <c r="J814" s="38"/>
      <c r="K814" s="38"/>
      <c r="L814" s="55"/>
      <c r="M814" s="38"/>
      <c r="N814" s="38"/>
      <c r="O814" s="38"/>
      <c r="P814" s="38"/>
    </row>
    <row r="815" ht="15.75" customHeight="1">
      <c r="D815" s="38"/>
      <c r="E815" s="38"/>
      <c r="F815" s="38"/>
      <c r="G815" s="38"/>
      <c r="H815" s="38"/>
      <c r="I815" s="38"/>
      <c r="J815" s="38"/>
      <c r="K815" s="38"/>
      <c r="L815" s="55"/>
      <c r="M815" s="38"/>
      <c r="N815" s="38"/>
      <c r="O815" s="38"/>
      <c r="P815" s="38"/>
    </row>
    <row r="816" ht="15.75" customHeight="1">
      <c r="D816" s="38"/>
      <c r="E816" s="38"/>
      <c r="F816" s="38"/>
      <c r="G816" s="38"/>
      <c r="H816" s="38"/>
      <c r="I816" s="38"/>
      <c r="J816" s="38"/>
      <c r="K816" s="38"/>
      <c r="L816" s="55"/>
      <c r="M816" s="38"/>
      <c r="N816" s="38"/>
      <c r="O816" s="38"/>
      <c r="P816" s="38"/>
    </row>
    <row r="817" ht="15.75" customHeight="1">
      <c r="D817" s="38"/>
      <c r="E817" s="38"/>
      <c r="F817" s="38"/>
      <c r="G817" s="38"/>
      <c r="H817" s="38"/>
      <c r="I817" s="38"/>
      <c r="J817" s="38"/>
      <c r="K817" s="38"/>
      <c r="L817" s="55"/>
      <c r="M817" s="38"/>
      <c r="N817" s="38"/>
      <c r="O817" s="38"/>
      <c r="P817" s="38"/>
    </row>
    <row r="818" ht="15.75" customHeight="1">
      <c r="D818" s="38"/>
      <c r="E818" s="38"/>
      <c r="F818" s="38"/>
      <c r="G818" s="38"/>
      <c r="H818" s="38"/>
      <c r="I818" s="38"/>
      <c r="J818" s="38"/>
      <c r="K818" s="38"/>
      <c r="L818" s="55"/>
      <c r="M818" s="38"/>
      <c r="N818" s="38"/>
      <c r="O818" s="38"/>
      <c r="P818" s="38"/>
    </row>
    <row r="819" ht="15.75" customHeight="1">
      <c r="D819" s="38"/>
      <c r="E819" s="38"/>
      <c r="F819" s="38"/>
      <c r="G819" s="38"/>
      <c r="H819" s="38"/>
      <c r="I819" s="38"/>
      <c r="J819" s="38"/>
      <c r="K819" s="38"/>
      <c r="L819" s="55"/>
      <c r="M819" s="38"/>
      <c r="N819" s="38"/>
      <c r="O819" s="38"/>
      <c r="P819" s="38"/>
    </row>
    <row r="820" ht="15.75" customHeight="1">
      <c r="D820" s="38"/>
      <c r="E820" s="38"/>
      <c r="F820" s="38"/>
      <c r="G820" s="38"/>
      <c r="H820" s="38"/>
      <c r="I820" s="38"/>
      <c r="J820" s="38"/>
      <c r="K820" s="38"/>
      <c r="L820" s="55"/>
      <c r="M820" s="38"/>
      <c r="N820" s="38"/>
      <c r="O820" s="38"/>
      <c r="P820" s="38"/>
    </row>
    <row r="821" ht="15.75" customHeight="1">
      <c r="D821" s="38"/>
      <c r="E821" s="38"/>
      <c r="F821" s="38"/>
      <c r="G821" s="38"/>
      <c r="H821" s="38"/>
      <c r="I821" s="38"/>
      <c r="J821" s="38"/>
      <c r="K821" s="38"/>
      <c r="L821" s="55"/>
      <c r="M821" s="38"/>
      <c r="N821" s="38"/>
      <c r="O821" s="38"/>
      <c r="P821" s="38"/>
    </row>
    <row r="822" ht="15.75" customHeight="1">
      <c r="D822" s="38"/>
      <c r="E822" s="38"/>
      <c r="F822" s="38"/>
      <c r="G822" s="38"/>
      <c r="H822" s="38"/>
      <c r="I822" s="38"/>
      <c r="J822" s="38"/>
      <c r="K822" s="38"/>
      <c r="L822" s="55"/>
      <c r="M822" s="38"/>
      <c r="N822" s="38"/>
      <c r="O822" s="38"/>
      <c r="P822" s="38"/>
    </row>
    <row r="823" ht="15.75" customHeight="1">
      <c r="D823" s="38"/>
      <c r="E823" s="38"/>
      <c r="F823" s="38"/>
      <c r="G823" s="38"/>
      <c r="H823" s="38"/>
      <c r="I823" s="38"/>
      <c r="J823" s="38"/>
      <c r="K823" s="38"/>
      <c r="L823" s="55"/>
      <c r="M823" s="38"/>
      <c r="N823" s="38"/>
      <c r="O823" s="38"/>
      <c r="P823" s="38"/>
    </row>
    <row r="824" ht="15.75" customHeight="1">
      <c r="D824" s="38"/>
      <c r="E824" s="38"/>
      <c r="F824" s="38"/>
      <c r="G824" s="38"/>
      <c r="H824" s="38"/>
      <c r="I824" s="38"/>
      <c r="J824" s="38"/>
      <c r="K824" s="38"/>
      <c r="L824" s="55"/>
      <c r="M824" s="38"/>
      <c r="N824" s="38"/>
      <c r="O824" s="38"/>
      <c r="P824" s="38"/>
    </row>
    <row r="825" ht="15.75" customHeight="1">
      <c r="D825" s="38"/>
      <c r="E825" s="38"/>
      <c r="F825" s="38"/>
      <c r="G825" s="38"/>
      <c r="H825" s="38"/>
      <c r="I825" s="38"/>
      <c r="J825" s="38"/>
      <c r="K825" s="38"/>
      <c r="L825" s="55"/>
      <c r="M825" s="38"/>
      <c r="N825" s="38"/>
      <c r="O825" s="38"/>
      <c r="P825" s="38"/>
    </row>
    <row r="826" ht="15.75" customHeight="1">
      <c r="D826" s="38"/>
      <c r="E826" s="38"/>
      <c r="F826" s="38"/>
      <c r="G826" s="38"/>
      <c r="H826" s="38"/>
      <c r="I826" s="38"/>
      <c r="J826" s="38"/>
      <c r="K826" s="38"/>
      <c r="L826" s="55"/>
      <c r="M826" s="38"/>
      <c r="N826" s="38"/>
      <c r="O826" s="38"/>
      <c r="P826" s="38"/>
    </row>
    <row r="827" ht="15.75" customHeight="1">
      <c r="D827" s="38"/>
      <c r="E827" s="38"/>
      <c r="F827" s="38"/>
      <c r="G827" s="38"/>
      <c r="H827" s="38"/>
      <c r="I827" s="38"/>
      <c r="J827" s="38"/>
      <c r="K827" s="38"/>
      <c r="L827" s="55"/>
      <c r="M827" s="38"/>
      <c r="N827" s="38"/>
      <c r="O827" s="38"/>
      <c r="P827" s="38"/>
    </row>
    <row r="828" ht="15.75" customHeight="1">
      <c r="D828" s="38"/>
      <c r="E828" s="38"/>
      <c r="F828" s="38"/>
      <c r="G828" s="38"/>
      <c r="H828" s="38"/>
      <c r="I828" s="38"/>
      <c r="J828" s="38"/>
      <c r="K828" s="38"/>
      <c r="L828" s="55"/>
      <c r="M828" s="38"/>
      <c r="N828" s="38"/>
      <c r="O828" s="38"/>
      <c r="P828" s="38"/>
    </row>
    <row r="829" ht="15.75" customHeight="1">
      <c r="D829" s="38"/>
      <c r="E829" s="38"/>
      <c r="F829" s="38"/>
      <c r="G829" s="38"/>
      <c r="H829" s="38"/>
      <c r="I829" s="38"/>
      <c r="J829" s="38"/>
      <c r="K829" s="38"/>
      <c r="L829" s="55"/>
      <c r="M829" s="38"/>
      <c r="N829" s="38"/>
      <c r="O829" s="38"/>
      <c r="P829" s="38"/>
    </row>
    <row r="830" ht="15.75" customHeight="1">
      <c r="D830" s="38"/>
      <c r="E830" s="38"/>
      <c r="F830" s="38"/>
      <c r="G830" s="38"/>
      <c r="H830" s="38"/>
      <c r="I830" s="38"/>
      <c r="J830" s="38"/>
      <c r="K830" s="38"/>
      <c r="L830" s="55"/>
      <c r="M830" s="38"/>
      <c r="N830" s="38"/>
      <c r="O830" s="38"/>
      <c r="P830" s="38"/>
    </row>
    <row r="831" ht="15.75" customHeight="1">
      <c r="D831" s="38"/>
      <c r="E831" s="38"/>
      <c r="F831" s="38"/>
      <c r="G831" s="38"/>
      <c r="H831" s="38"/>
      <c r="I831" s="38"/>
      <c r="J831" s="38"/>
      <c r="K831" s="38"/>
      <c r="L831" s="55"/>
      <c r="M831" s="38"/>
      <c r="N831" s="38"/>
      <c r="O831" s="38"/>
      <c r="P831" s="38"/>
    </row>
    <row r="832" ht="15.75" customHeight="1">
      <c r="D832" s="38"/>
      <c r="E832" s="38"/>
      <c r="F832" s="38"/>
      <c r="G832" s="38"/>
      <c r="H832" s="38"/>
      <c r="I832" s="38"/>
      <c r="J832" s="38"/>
      <c r="K832" s="38"/>
      <c r="L832" s="55"/>
      <c r="M832" s="38"/>
      <c r="N832" s="38"/>
      <c r="O832" s="38"/>
      <c r="P832" s="38"/>
    </row>
  </sheetData>
  <mergeCells count="58">
    <mergeCell ref="A285:B285"/>
    <mergeCell ref="A294:B294"/>
    <mergeCell ref="C294:C297"/>
    <mergeCell ref="A304:B304"/>
    <mergeCell ref="C304:C307"/>
    <mergeCell ref="A316:B316"/>
    <mergeCell ref="C316:C319"/>
    <mergeCell ref="A257:B257"/>
    <mergeCell ref="C257:C260"/>
    <mergeCell ref="A267:B267"/>
    <mergeCell ref="C267:C270"/>
    <mergeCell ref="A276:B276"/>
    <mergeCell ref="C276:C279"/>
    <mergeCell ref="C285:C288"/>
    <mergeCell ref="A5:B5"/>
    <mergeCell ref="C5:C8"/>
    <mergeCell ref="A19:B19"/>
    <mergeCell ref="C19:C22"/>
    <mergeCell ref="A33:B33"/>
    <mergeCell ref="C33:C36"/>
    <mergeCell ref="C43:C46"/>
    <mergeCell ref="A43:B43"/>
    <mergeCell ref="A54:B54"/>
    <mergeCell ref="C54:C57"/>
    <mergeCell ref="A66:B66"/>
    <mergeCell ref="C66:C69"/>
    <mergeCell ref="A75:B75"/>
    <mergeCell ref="C75:C78"/>
    <mergeCell ref="A87:B87"/>
    <mergeCell ref="C87:C90"/>
    <mergeCell ref="A101:B101"/>
    <mergeCell ref="C101:C104"/>
    <mergeCell ref="A109:B109"/>
    <mergeCell ref="C109:C112"/>
    <mergeCell ref="C120:C123"/>
    <mergeCell ref="A120:B120"/>
    <mergeCell ref="A134:B134"/>
    <mergeCell ref="C134:C137"/>
    <mergeCell ref="A145:B145"/>
    <mergeCell ref="C145:C148"/>
    <mergeCell ref="A157:B157"/>
    <mergeCell ref="C157:C160"/>
    <mergeCell ref="A172:B172"/>
    <mergeCell ref="C172:C175"/>
    <mergeCell ref="A182:B182"/>
    <mergeCell ref="C182:C185"/>
    <mergeCell ref="A192:B192"/>
    <mergeCell ref="C192:C195"/>
    <mergeCell ref="C203:C206"/>
    <mergeCell ref="C234:C237"/>
    <mergeCell ref="C243:C246"/>
    <mergeCell ref="A203:B203"/>
    <mergeCell ref="A211:B211"/>
    <mergeCell ref="C211:C214"/>
    <mergeCell ref="A222:B222"/>
    <mergeCell ref="C222:C225"/>
    <mergeCell ref="A234:B234"/>
    <mergeCell ref="A243:B243"/>
  </mergeCells>
  <conditionalFormatting sqref="A2:A3 B2 H5:H305 I5:I832 B7 B21 B35 B45 B56 B68 B77 B89 H307:H832 K319">
    <cfRule type="cellIs" dxfId="5" priority="1" operator="greaterThan">
      <formula>0</formula>
    </cfRule>
  </conditionalFormatting>
  <conditionalFormatting sqref="A2:A3 B2 H5:H305 I5:I832 B7 B21 B35 B45 B56 B68 B77 B89 H307:H832 K319">
    <cfRule type="cellIs" dxfId="6" priority="2" operator="lessThan">
      <formula>0</formula>
    </cfRule>
  </conditionalFormatting>
  <conditionalFormatting sqref="C5 C19 C33 C43 C54 C66 C75 C87 C101 C109 C120 C134 C145 C157 C172 C182 C192 C203 C211 C222 C234 C243 C257 C267 C276 C285 C294 C304 C316">
    <cfRule type="cellIs" dxfId="5" priority="3" operator="greaterThan">
      <formula>0</formula>
    </cfRule>
  </conditionalFormatting>
  <conditionalFormatting sqref="C5 C19 C33 C43 C54 C66 C75 C87 C101 C109 C120 C134 C145 C157 C172 C182 C192 C203 C211 C222 C234 C243 C257 C267 C276 C285 C294 C304 C316">
    <cfRule type="cellIs" dxfId="6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7.78"/>
    <col customWidth="1" min="3" max="3" width="17.33"/>
    <col customWidth="1" min="4" max="4" width="17.89"/>
    <col customWidth="1" min="5" max="5" width="17.56"/>
    <col customWidth="1" min="6" max="6" width="12.33"/>
    <col customWidth="1" min="7" max="7" width="13.33"/>
    <col customWidth="1" min="8" max="8" width="13.0"/>
    <col customWidth="1" min="9" max="9" width="21.0"/>
    <col customWidth="1" min="10" max="12" width="15.0"/>
    <col customWidth="1" min="13" max="13" width="23.89"/>
  </cols>
  <sheetData>
    <row r="1" ht="22.5" customHeight="1">
      <c r="A1" s="147" t="s">
        <v>334</v>
      </c>
      <c r="B1" s="147" t="s">
        <v>490</v>
      </c>
      <c r="C1" s="147" t="s">
        <v>491</v>
      </c>
      <c r="D1" s="147" t="s">
        <v>492</v>
      </c>
      <c r="E1" s="147" t="s">
        <v>493</v>
      </c>
      <c r="F1" s="147" t="s">
        <v>339</v>
      </c>
      <c r="G1" s="147" t="s">
        <v>340</v>
      </c>
      <c r="H1" s="147" t="s">
        <v>341</v>
      </c>
      <c r="I1" s="148" t="s">
        <v>494</v>
      </c>
      <c r="J1" s="148" t="s">
        <v>495</v>
      </c>
      <c r="K1" s="148" t="s">
        <v>496</v>
      </c>
      <c r="L1" s="147" t="s">
        <v>497</v>
      </c>
      <c r="M1" s="147" t="s">
        <v>498</v>
      </c>
    </row>
    <row r="2" ht="22.5" customHeight="1">
      <c r="A2" s="149">
        <v>1.0</v>
      </c>
      <c r="B2" s="150">
        <f t="shared" ref="B2:C2" si="1">D2</f>
        <v>177.66</v>
      </c>
      <c r="C2" s="150">
        <f t="shared" si="1"/>
        <v>3.159860558</v>
      </c>
      <c r="D2" s="150">
        <f>IFERROR(__xludf.DUMMYFUNCTION("FILTER(TradingNote!H4:H50500, ISNUMBER(TradingNote!H4:H50500))"),177.66)</f>
        <v>177.66</v>
      </c>
      <c r="E2" s="150">
        <f>IFERROR(__xludf.DUMMYFUNCTION("FILTER(TradingNote!G4:G50500, ISNUMBER(TradingNote!G4:G50500))"),3.1598605577686496)</f>
        <v>3.159860558</v>
      </c>
      <c r="F2" s="150">
        <f>C2</f>
        <v>3.159860558</v>
      </c>
      <c r="G2" s="150">
        <f>0</f>
        <v>0</v>
      </c>
      <c r="H2" s="150">
        <f t="shared" ref="H2:H145" si="3">MIN(G:G)</f>
        <v>-8.816266667</v>
      </c>
      <c r="I2" s="150">
        <f>IF(D2&lt;0,1,0)</f>
        <v>0</v>
      </c>
      <c r="J2" s="150">
        <f>IF(D2&lt;0,D2,0)</f>
        <v>0</v>
      </c>
      <c r="K2" s="151">
        <f t="shared" ref="K2:K145" si="4">MIN(J:J)</f>
        <v>-8.816266667</v>
      </c>
      <c r="L2" s="150">
        <f t="shared" ref="L2:L145" si="5">AVERAGE(E1:E20)</f>
        <v>0.3234513266</v>
      </c>
      <c r="M2" s="150">
        <f t="shared" ref="M2:M145" si="6">COUNTIF(OFFSET(E2,ROW()-ROW(E2)-19,0,20), "&gt;0")  / COUNTIF(OFFSET(E2,ROW()-ROW(E2)-19,0,20), "&lt;&gt;0")</f>
        <v>0</v>
      </c>
    </row>
    <row r="3" ht="22.5" customHeight="1">
      <c r="A3" s="149">
        <v>2.0</v>
      </c>
      <c r="B3" s="150">
        <f t="shared" ref="B3:C3" si="2">B2+D3</f>
        <v>129.64</v>
      </c>
      <c r="C3" s="150">
        <f t="shared" si="2"/>
        <v>2.159860558</v>
      </c>
      <c r="D3" s="150">
        <f>IFERROR(__xludf.DUMMYFUNCTION("""COMPUTED_VALUE"""),-48.02)</f>
        <v>-48.02</v>
      </c>
      <c r="E3" s="150">
        <f>IFERROR(__xludf.DUMMYFUNCTION("""COMPUTED_VALUE"""),-1.0000000000000213)</f>
        <v>-1</v>
      </c>
      <c r="F3" s="150">
        <f t="shared" ref="F3:F145" si="8">MAX(F2,C3)</f>
        <v>3.159860558</v>
      </c>
      <c r="G3" s="150">
        <f t="shared" ref="G3:G145" si="9">C3-F3</f>
        <v>-1</v>
      </c>
      <c r="H3" s="150">
        <f t="shared" si="3"/>
        <v>-8.816266667</v>
      </c>
      <c r="I3" s="150">
        <f t="shared" ref="I3:I145" si="10">IF(D3&lt;0,I2+1,0)</f>
        <v>1</v>
      </c>
      <c r="J3" s="150">
        <f t="shared" ref="J3:J145" si="11">IF(E3&lt;0,J2+E3,0)</f>
        <v>-1</v>
      </c>
      <c r="K3" s="151">
        <f t="shared" si="4"/>
        <v>-8.816266667</v>
      </c>
      <c r="L3" s="150">
        <f t="shared" si="5"/>
        <v>0.2641757299</v>
      </c>
      <c r="M3" s="150">
        <f t="shared" si="6"/>
        <v>0</v>
      </c>
    </row>
    <row r="4" ht="22.5" customHeight="1">
      <c r="A4" s="149">
        <v>3.0</v>
      </c>
      <c r="B4" s="150">
        <f t="shared" ref="B4:C4" si="7">B3+D4</f>
        <v>80.5</v>
      </c>
      <c r="C4" s="150">
        <f t="shared" si="7"/>
        <v>1.159860558</v>
      </c>
      <c r="D4" s="150">
        <f>IFERROR(__xludf.DUMMYFUNCTION("""COMPUTED_VALUE"""),-49.14)</f>
        <v>-49.14</v>
      </c>
      <c r="E4" s="150">
        <f>IFERROR(__xludf.DUMMYFUNCTION("""COMPUTED_VALUE"""),-0.9999999999998342)</f>
        <v>-1</v>
      </c>
      <c r="F4" s="150">
        <f t="shared" si="8"/>
        <v>3.159860558</v>
      </c>
      <c r="G4" s="150">
        <f t="shared" si="9"/>
        <v>-2</v>
      </c>
      <c r="H4" s="150">
        <f t="shared" si="3"/>
        <v>-8.816266667</v>
      </c>
      <c r="I4" s="150">
        <f t="shared" si="10"/>
        <v>2</v>
      </c>
      <c r="J4" s="150">
        <f t="shared" si="11"/>
        <v>-2</v>
      </c>
      <c r="K4" s="151">
        <f t="shared" si="4"/>
        <v>-8.816266667</v>
      </c>
      <c r="L4" s="150">
        <f t="shared" si="5"/>
        <v>0.05605770206</v>
      </c>
      <c r="M4" s="150">
        <f t="shared" si="6"/>
        <v>0</v>
      </c>
    </row>
    <row r="5" ht="22.5" customHeight="1">
      <c r="A5" s="149">
        <v>4.0</v>
      </c>
      <c r="B5" s="150">
        <f t="shared" ref="B5:C5" si="12">B4+D5</f>
        <v>36.68</v>
      </c>
      <c r="C5" s="150">
        <f t="shared" si="12"/>
        <v>0.1598605578</v>
      </c>
      <c r="D5" s="150">
        <f>IFERROR(__xludf.DUMMYFUNCTION("""COMPUTED_VALUE"""),-43.82)</f>
        <v>-43.82</v>
      </c>
      <c r="E5" s="150">
        <f>IFERROR(__xludf.DUMMYFUNCTION("""COMPUTED_VALUE"""),-1.0000000000000233)</f>
        <v>-1</v>
      </c>
      <c r="F5" s="150">
        <f t="shared" si="8"/>
        <v>3.159860558</v>
      </c>
      <c r="G5" s="150">
        <f t="shared" si="9"/>
        <v>-3</v>
      </c>
      <c r="H5" s="150">
        <f t="shared" si="3"/>
        <v>-8.816266667</v>
      </c>
      <c r="I5" s="150">
        <f t="shared" si="10"/>
        <v>3</v>
      </c>
      <c r="J5" s="150">
        <f t="shared" si="11"/>
        <v>-3</v>
      </c>
      <c r="K5" s="151">
        <f t="shared" si="4"/>
        <v>-8.816266667</v>
      </c>
      <c r="L5" s="150">
        <f t="shared" si="5"/>
        <v>0.1060577021</v>
      </c>
      <c r="M5" s="150">
        <f t="shared" si="6"/>
        <v>0</v>
      </c>
    </row>
    <row r="6" ht="22.5" customHeight="1">
      <c r="A6" s="149">
        <v>5.0</v>
      </c>
      <c r="B6" s="150">
        <f t="shared" ref="B6:C6" si="13">B5+D6</f>
        <v>8.05</v>
      </c>
      <c r="C6" s="150">
        <f t="shared" si="13"/>
        <v>-0.8401394422</v>
      </c>
      <c r="D6" s="150">
        <f>IFERROR(__xludf.DUMMYFUNCTION("""COMPUTED_VALUE"""),-28.63)</f>
        <v>-28.63</v>
      </c>
      <c r="E6" s="150">
        <f>IFERROR(__xludf.DUMMYFUNCTION("""COMPUTED_VALUE"""),-0.9999999999997866)</f>
        <v>-1</v>
      </c>
      <c r="F6" s="150">
        <f t="shared" si="8"/>
        <v>3.159860558</v>
      </c>
      <c r="G6" s="150">
        <f t="shared" si="9"/>
        <v>-4</v>
      </c>
      <c r="H6" s="150">
        <f t="shared" si="3"/>
        <v>-8.816266667</v>
      </c>
      <c r="I6" s="150">
        <f t="shared" si="10"/>
        <v>4</v>
      </c>
      <c r="J6" s="150">
        <f t="shared" si="11"/>
        <v>-4</v>
      </c>
      <c r="K6" s="151">
        <f t="shared" si="4"/>
        <v>-8.816266667</v>
      </c>
      <c r="L6" s="150">
        <f t="shared" si="5"/>
        <v>0.2494862735</v>
      </c>
      <c r="M6" s="150">
        <f t="shared" si="6"/>
        <v>0</v>
      </c>
    </row>
    <row r="7" ht="22.5" customHeight="1">
      <c r="A7" s="149">
        <v>6.0</v>
      </c>
      <c r="B7" s="150">
        <f t="shared" ref="B7:C7" si="14">B6+D7</f>
        <v>46.13</v>
      </c>
      <c r="C7" s="150">
        <f t="shared" si="14"/>
        <v>0.1598605578</v>
      </c>
      <c r="D7" s="150">
        <f>IFERROR(__xludf.DUMMYFUNCTION("""COMPUTED_VALUE"""),38.08)</f>
        <v>38.08</v>
      </c>
      <c r="E7" s="150">
        <f>IFERROR(__xludf.DUMMYFUNCTION("""COMPUTED_VALUE"""),0.9999999999999734)</f>
        <v>1</v>
      </c>
      <c r="F7" s="150">
        <f t="shared" si="8"/>
        <v>3.159860558</v>
      </c>
      <c r="G7" s="150">
        <f t="shared" si="9"/>
        <v>-3</v>
      </c>
      <c r="H7" s="150">
        <f t="shared" si="3"/>
        <v>-8.816266667</v>
      </c>
      <c r="I7" s="150">
        <f t="shared" si="10"/>
        <v>0</v>
      </c>
      <c r="J7" s="150">
        <f t="shared" si="11"/>
        <v>0</v>
      </c>
      <c r="K7" s="151">
        <f t="shared" si="4"/>
        <v>-8.816266667</v>
      </c>
      <c r="L7" s="150">
        <f t="shared" si="5"/>
        <v>0.2994862735</v>
      </c>
      <c r="M7" s="150">
        <f t="shared" si="6"/>
        <v>0</v>
      </c>
    </row>
    <row r="8" ht="22.5" customHeight="1">
      <c r="A8" s="149">
        <v>7.0</v>
      </c>
      <c r="B8" s="150">
        <f t="shared" ref="B8:C8" si="15">B7+D8</f>
        <v>-18.39</v>
      </c>
      <c r="C8" s="150">
        <f t="shared" si="15"/>
        <v>-0.8398295569</v>
      </c>
      <c r="D8" s="150">
        <f>IFERROR(__xludf.DUMMYFUNCTION("""COMPUTED_VALUE"""),-64.52)</f>
        <v>-64.52</v>
      </c>
      <c r="E8" s="150">
        <f>IFERROR(__xludf.DUMMYFUNCTION("""COMPUTED_VALUE"""),-0.9996901146574504)</f>
        <v>-0.9996901147</v>
      </c>
      <c r="F8" s="150">
        <f t="shared" si="8"/>
        <v>3.159860558</v>
      </c>
      <c r="G8" s="150">
        <f t="shared" si="9"/>
        <v>-3.999690115</v>
      </c>
      <c r="H8" s="150">
        <f t="shared" si="3"/>
        <v>-8.816266667</v>
      </c>
      <c r="I8" s="150">
        <f t="shared" si="10"/>
        <v>1</v>
      </c>
      <c r="J8" s="150">
        <f t="shared" si="11"/>
        <v>-0.9996901147</v>
      </c>
      <c r="K8" s="151">
        <f t="shared" si="4"/>
        <v>-8.816266667</v>
      </c>
      <c r="L8" s="150">
        <f t="shared" si="5"/>
        <v>0.2994862735</v>
      </c>
      <c r="M8" s="150">
        <f t="shared" si="6"/>
        <v>0</v>
      </c>
    </row>
    <row r="9" ht="22.5" customHeight="1">
      <c r="A9" s="149">
        <v>8.0</v>
      </c>
      <c r="B9" s="150">
        <f t="shared" ref="B9:C9" si="16">B8+D9</f>
        <v>-35.33</v>
      </c>
      <c r="C9" s="150">
        <f t="shared" si="16"/>
        <v>-1.416020033</v>
      </c>
      <c r="D9" s="150">
        <f>IFERROR(__xludf.DUMMYFUNCTION("""COMPUTED_VALUE"""),-16.94)</f>
        <v>-16.94</v>
      </c>
      <c r="E9" s="150">
        <f>IFERROR(__xludf.DUMMYFUNCTION("""COMPUTED_VALUE"""),-0.5761904761904763)</f>
        <v>-0.5761904762</v>
      </c>
      <c r="F9" s="150">
        <f t="shared" si="8"/>
        <v>3.159860558</v>
      </c>
      <c r="G9" s="150">
        <f t="shared" si="9"/>
        <v>-4.575880591</v>
      </c>
      <c r="H9" s="150">
        <f t="shared" si="3"/>
        <v>-8.816266667</v>
      </c>
      <c r="I9" s="150">
        <f t="shared" si="10"/>
        <v>2</v>
      </c>
      <c r="J9" s="150">
        <f t="shared" si="11"/>
        <v>-1.575880591</v>
      </c>
      <c r="K9" s="151">
        <f t="shared" si="4"/>
        <v>-8.816266667</v>
      </c>
      <c r="L9" s="150">
        <f t="shared" si="5"/>
        <v>0.1994783408</v>
      </c>
      <c r="M9" s="150">
        <f t="shared" si="6"/>
        <v>0</v>
      </c>
    </row>
    <row r="10" ht="22.5" customHeight="1">
      <c r="A10" s="149">
        <v>9.0</v>
      </c>
      <c r="B10" s="150">
        <f t="shared" ref="B10:C10" si="17">B9+D10</f>
        <v>-31.27</v>
      </c>
      <c r="C10" s="150">
        <f t="shared" si="17"/>
        <v>-1.277924795</v>
      </c>
      <c r="D10" s="150">
        <f>IFERROR(__xludf.DUMMYFUNCTION("""COMPUTED_VALUE"""),4.06)</f>
        <v>4.06</v>
      </c>
      <c r="E10" s="150">
        <f>IFERROR(__xludf.DUMMYFUNCTION("""COMPUTED_VALUE"""),0.13809523809523808)</f>
        <v>0.1380952381</v>
      </c>
      <c r="F10" s="150">
        <f t="shared" si="8"/>
        <v>3.159860558</v>
      </c>
      <c r="G10" s="150">
        <f t="shared" si="9"/>
        <v>-4.437785353</v>
      </c>
      <c r="H10" s="150">
        <f t="shared" si="3"/>
        <v>-8.816266667</v>
      </c>
      <c r="I10" s="150">
        <f t="shared" si="10"/>
        <v>0</v>
      </c>
      <c r="J10" s="150">
        <f t="shared" si="11"/>
        <v>0</v>
      </c>
      <c r="K10" s="151">
        <f t="shared" si="4"/>
        <v>-8.816266667</v>
      </c>
      <c r="L10" s="150">
        <f t="shared" si="5"/>
        <v>0.1994594108</v>
      </c>
      <c r="M10" s="150">
        <f t="shared" si="6"/>
        <v>0</v>
      </c>
    </row>
    <row r="11" ht="22.5" customHeight="1">
      <c r="A11" s="149">
        <v>10.0</v>
      </c>
      <c r="B11" s="150">
        <f t="shared" ref="B11:C11" si="18">B10+D11</f>
        <v>3.66</v>
      </c>
      <c r="C11" s="150">
        <f t="shared" si="18"/>
        <v>0.3854085383</v>
      </c>
      <c r="D11" s="150">
        <f>IFERROR(__xludf.DUMMYFUNCTION("""COMPUTED_VALUE"""),34.93)</f>
        <v>34.93</v>
      </c>
      <c r="E11" s="150">
        <f>IFERROR(__xludf.DUMMYFUNCTION("""COMPUTED_VALUE"""),1.6633333333333333)</f>
        <v>1.663333333</v>
      </c>
      <c r="F11" s="150">
        <f t="shared" si="8"/>
        <v>3.159860558</v>
      </c>
      <c r="G11" s="150">
        <f t="shared" si="9"/>
        <v>-2.774452019</v>
      </c>
      <c r="H11" s="150">
        <f t="shared" si="3"/>
        <v>-8.816266667</v>
      </c>
      <c r="I11" s="150">
        <f t="shared" si="10"/>
        <v>0</v>
      </c>
      <c r="J11" s="150">
        <f t="shared" si="11"/>
        <v>0</v>
      </c>
      <c r="K11" s="151">
        <f t="shared" si="4"/>
        <v>-8.816266667</v>
      </c>
      <c r="L11" s="150">
        <f t="shared" si="5"/>
        <v>0.1782659015</v>
      </c>
      <c r="M11" s="150">
        <f t="shared" si="6"/>
        <v>0</v>
      </c>
    </row>
    <row r="12" ht="22.5" customHeight="1">
      <c r="A12" s="149">
        <v>11.0</v>
      </c>
      <c r="B12" s="150">
        <f t="shared" ref="B12:C12" si="19">B11+D12</f>
        <v>130.91</v>
      </c>
      <c r="C12" s="150">
        <f t="shared" si="19"/>
        <v>2.082075205</v>
      </c>
      <c r="D12" s="150">
        <f>IFERROR(__xludf.DUMMYFUNCTION("""COMPUTED_VALUE"""),127.25)</f>
        <v>127.25</v>
      </c>
      <c r="E12" s="150">
        <f>IFERROR(__xludf.DUMMYFUNCTION("""COMPUTED_VALUE"""),1.6966666666666668)</f>
        <v>1.696666667</v>
      </c>
      <c r="F12" s="150">
        <f t="shared" si="8"/>
        <v>3.159860558</v>
      </c>
      <c r="G12" s="150">
        <f t="shared" si="9"/>
        <v>-1.077785353</v>
      </c>
      <c r="H12" s="150">
        <f t="shared" si="3"/>
        <v>-8.816266667</v>
      </c>
      <c r="I12" s="150">
        <f t="shared" si="10"/>
        <v>0</v>
      </c>
      <c r="J12" s="150">
        <f t="shared" si="11"/>
        <v>0</v>
      </c>
      <c r="K12" s="151">
        <f t="shared" si="4"/>
        <v>-8.816266667</v>
      </c>
      <c r="L12" s="150">
        <f t="shared" si="5"/>
        <v>0.2174861396</v>
      </c>
      <c r="M12" s="150">
        <f t="shared" si="6"/>
        <v>0</v>
      </c>
    </row>
    <row r="13" ht="22.5" customHeight="1">
      <c r="A13" s="149">
        <v>12.0</v>
      </c>
      <c r="B13" s="150">
        <f t="shared" ref="B13:C13" si="20">B12+D13</f>
        <v>403.08</v>
      </c>
      <c r="C13" s="150">
        <f t="shared" si="20"/>
        <v>5.284075205</v>
      </c>
      <c r="D13" s="150">
        <f>IFERROR(__xludf.DUMMYFUNCTION("""COMPUTED_VALUE"""),272.17)</f>
        <v>272.17</v>
      </c>
      <c r="E13" s="150">
        <f>IFERROR(__xludf.DUMMYFUNCTION("""COMPUTED_VALUE"""),3.2020000000000004)</f>
        <v>3.202</v>
      </c>
      <c r="F13" s="150">
        <f t="shared" si="8"/>
        <v>5.284075205</v>
      </c>
      <c r="G13" s="150">
        <f t="shared" si="9"/>
        <v>0</v>
      </c>
      <c r="H13" s="150">
        <f t="shared" si="3"/>
        <v>-8.816266667</v>
      </c>
      <c r="I13" s="150">
        <f t="shared" si="10"/>
        <v>0</v>
      </c>
      <c r="J13" s="150">
        <f t="shared" si="11"/>
        <v>0</v>
      </c>
      <c r="K13" s="151">
        <f t="shared" si="4"/>
        <v>-8.816266667</v>
      </c>
      <c r="L13" s="150">
        <f t="shared" si="5"/>
        <v>0.08431947295</v>
      </c>
      <c r="M13" s="150">
        <f t="shared" si="6"/>
        <v>0</v>
      </c>
    </row>
    <row r="14" ht="22.5" customHeight="1">
      <c r="A14" s="149">
        <v>13.0</v>
      </c>
      <c r="B14" s="150">
        <f t="shared" ref="B14:C14" si="21">B13+D14</f>
        <v>448.17</v>
      </c>
      <c r="C14" s="150">
        <f t="shared" si="21"/>
        <v>5.952075205</v>
      </c>
      <c r="D14" s="150">
        <f>IFERROR(__xludf.DUMMYFUNCTION("""COMPUTED_VALUE"""),45.09)</f>
        <v>45.09</v>
      </c>
      <c r="E14" s="150">
        <f>IFERROR(__xludf.DUMMYFUNCTION("""COMPUTED_VALUE"""),0.668)</f>
        <v>0.668</v>
      </c>
      <c r="F14" s="150">
        <f t="shared" si="8"/>
        <v>5.952075205</v>
      </c>
      <c r="G14" s="150">
        <f t="shared" si="9"/>
        <v>0</v>
      </c>
      <c r="H14" s="150">
        <f t="shared" si="3"/>
        <v>-8.816266667</v>
      </c>
      <c r="I14" s="150">
        <f t="shared" si="10"/>
        <v>0</v>
      </c>
      <c r="J14" s="150">
        <f t="shared" si="11"/>
        <v>0</v>
      </c>
      <c r="K14" s="151">
        <f t="shared" si="4"/>
        <v>-8.816266667</v>
      </c>
      <c r="L14" s="150">
        <f t="shared" si="5"/>
        <v>0.08432301905</v>
      </c>
      <c r="M14" s="150">
        <f t="shared" si="6"/>
        <v>0</v>
      </c>
    </row>
    <row r="15" ht="22.5" customHeight="1">
      <c r="A15" s="149">
        <v>14.0</v>
      </c>
      <c r="B15" s="150">
        <f t="shared" ref="B15:C15" si="22">B14+D15</f>
        <v>330.91</v>
      </c>
      <c r="C15" s="150">
        <f t="shared" si="22"/>
        <v>4.952075205</v>
      </c>
      <c r="D15" s="150">
        <f>IFERROR(__xludf.DUMMYFUNCTION("""COMPUTED_VALUE"""),-117.26)</f>
        <v>-117.26</v>
      </c>
      <c r="E15" s="150">
        <f>IFERROR(__xludf.DUMMYFUNCTION("""COMPUTED_VALUE"""),-1.0000000000000322)</f>
        <v>-1</v>
      </c>
      <c r="F15" s="150">
        <f t="shared" si="8"/>
        <v>5.952075205</v>
      </c>
      <c r="G15" s="150">
        <f t="shared" si="9"/>
        <v>-1</v>
      </c>
      <c r="H15" s="150">
        <f t="shared" si="3"/>
        <v>-8.816266667</v>
      </c>
      <c r="I15" s="150">
        <f t="shared" si="10"/>
        <v>1</v>
      </c>
      <c r="J15" s="150">
        <f t="shared" si="11"/>
        <v>-1</v>
      </c>
      <c r="K15" s="151">
        <f t="shared" si="4"/>
        <v>-8.816266667</v>
      </c>
      <c r="L15" s="150">
        <f t="shared" si="5"/>
        <v>-0.01094364762</v>
      </c>
      <c r="M15" s="150">
        <f t="shared" si="6"/>
        <v>0</v>
      </c>
    </row>
    <row r="16" ht="22.5" customHeight="1">
      <c r="A16" s="149">
        <v>15.0</v>
      </c>
      <c r="B16" s="150">
        <f t="shared" ref="B16:C16" si="23">B15+D16</f>
        <v>225.7</v>
      </c>
      <c r="C16" s="150">
        <f t="shared" si="23"/>
        <v>3.952075205</v>
      </c>
      <c r="D16" s="150">
        <f>IFERROR(__xludf.DUMMYFUNCTION("""COMPUTED_VALUE"""),-105.21)</f>
        <v>-105.21</v>
      </c>
      <c r="E16" s="150">
        <f>IFERROR(__xludf.DUMMYFUNCTION("""COMPUTED_VALUE"""),-1.0000000000000289)</f>
        <v>-1</v>
      </c>
      <c r="F16" s="150">
        <f t="shared" si="8"/>
        <v>5.952075205</v>
      </c>
      <c r="G16" s="150">
        <f t="shared" si="9"/>
        <v>-2</v>
      </c>
      <c r="H16" s="150">
        <f t="shared" si="3"/>
        <v>-8.816266667</v>
      </c>
      <c r="I16" s="150">
        <f t="shared" si="10"/>
        <v>2</v>
      </c>
      <c r="J16" s="150">
        <f t="shared" si="11"/>
        <v>-2</v>
      </c>
      <c r="K16" s="151">
        <f t="shared" si="4"/>
        <v>-8.816266667</v>
      </c>
      <c r="L16" s="150">
        <f t="shared" si="5"/>
        <v>0.04979920953</v>
      </c>
      <c r="M16" s="150">
        <f t="shared" si="6"/>
        <v>0</v>
      </c>
    </row>
    <row r="17" ht="22.5" customHeight="1">
      <c r="A17" s="149">
        <v>16.0</v>
      </c>
      <c r="B17" s="150">
        <f t="shared" ref="B17:C17" si="24">B16+D17</f>
        <v>141.49</v>
      </c>
      <c r="C17" s="150">
        <f t="shared" si="24"/>
        <v>2.952075205</v>
      </c>
      <c r="D17" s="150">
        <f>IFERROR(__xludf.DUMMYFUNCTION("""COMPUTED_VALUE"""),-84.21)</f>
        <v>-84.21</v>
      </c>
      <c r="E17" s="150">
        <f>IFERROR(__xludf.DUMMYFUNCTION("""COMPUTED_VALUE"""),-1.0000000000000362)</f>
        <v>-1</v>
      </c>
      <c r="F17" s="150">
        <f t="shared" si="8"/>
        <v>5.952075205</v>
      </c>
      <c r="G17" s="150">
        <f t="shared" si="9"/>
        <v>-3</v>
      </c>
      <c r="H17" s="150">
        <f t="shared" si="3"/>
        <v>-8.816266667</v>
      </c>
      <c r="I17" s="150">
        <f t="shared" si="10"/>
        <v>3</v>
      </c>
      <c r="J17" s="150">
        <f t="shared" si="11"/>
        <v>-3</v>
      </c>
      <c r="K17" s="151">
        <f t="shared" si="4"/>
        <v>-8.816266667</v>
      </c>
      <c r="L17" s="150">
        <f t="shared" si="5"/>
        <v>0.2051117095</v>
      </c>
      <c r="M17" s="150">
        <f t="shared" si="6"/>
        <v>0</v>
      </c>
    </row>
    <row r="18" ht="22.5" customHeight="1">
      <c r="A18" s="149">
        <v>17.0</v>
      </c>
      <c r="B18" s="150">
        <f t="shared" ref="B18:C18" si="25">B17+D18</f>
        <v>256.78</v>
      </c>
      <c r="C18" s="150">
        <f t="shared" si="25"/>
        <v>5.148075205</v>
      </c>
      <c r="D18" s="150">
        <f>IFERROR(__xludf.DUMMYFUNCTION("""COMPUTED_VALUE"""),115.29)</f>
        <v>115.29</v>
      </c>
      <c r="E18" s="150">
        <f>IFERROR(__xludf.DUMMYFUNCTION("""COMPUTED_VALUE"""),2.196)</f>
        <v>2.196</v>
      </c>
      <c r="F18" s="150">
        <f t="shared" si="8"/>
        <v>5.952075205</v>
      </c>
      <c r="G18" s="150">
        <f t="shared" si="9"/>
        <v>-0.804</v>
      </c>
      <c r="H18" s="150">
        <f t="shared" si="3"/>
        <v>-8.816266667</v>
      </c>
      <c r="I18" s="150">
        <f t="shared" si="10"/>
        <v>0</v>
      </c>
      <c r="J18" s="150">
        <f t="shared" si="11"/>
        <v>0</v>
      </c>
      <c r="K18" s="151">
        <f t="shared" si="4"/>
        <v>-8.816266667</v>
      </c>
      <c r="L18" s="150">
        <f t="shared" si="5"/>
        <v>0.3391545667</v>
      </c>
      <c r="M18" s="150">
        <f t="shared" si="6"/>
        <v>0</v>
      </c>
    </row>
    <row r="19" ht="22.5" customHeight="1">
      <c r="A19" s="149">
        <v>18.0</v>
      </c>
      <c r="B19" s="150">
        <f t="shared" ref="B19:C19" si="26">B18+D19</f>
        <v>256.78</v>
      </c>
      <c r="C19" s="150">
        <f t="shared" si="26"/>
        <v>5.148075205</v>
      </c>
      <c r="D19" s="150">
        <f>IFERROR(__xludf.DUMMYFUNCTION("""COMPUTED_VALUE"""),0.0)</f>
        <v>0</v>
      </c>
      <c r="E19" s="150">
        <f>IFERROR(__xludf.DUMMYFUNCTION("""COMPUTED_VALUE"""),0.0)</f>
        <v>0</v>
      </c>
      <c r="F19" s="150">
        <f t="shared" si="8"/>
        <v>5.952075205</v>
      </c>
      <c r="G19" s="150">
        <f t="shared" si="9"/>
        <v>-0.804</v>
      </c>
      <c r="H19" s="150">
        <f t="shared" si="3"/>
        <v>-8.816266667</v>
      </c>
      <c r="I19" s="150">
        <f t="shared" si="10"/>
        <v>0</v>
      </c>
      <c r="J19" s="150">
        <f t="shared" si="11"/>
        <v>0</v>
      </c>
      <c r="K19" s="151">
        <f t="shared" si="4"/>
        <v>-8.816266667</v>
      </c>
      <c r="L19" s="150">
        <f t="shared" si="5"/>
        <v>0.4389918308</v>
      </c>
      <c r="M19" s="150">
        <f t="shared" si="6"/>
        <v>0</v>
      </c>
    </row>
    <row r="20" ht="22.5" customHeight="1">
      <c r="A20" s="149">
        <v>19.0</v>
      </c>
      <c r="B20" s="150">
        <f t="shared" ref="B20:C20" si="27">B19+D20</f>
        <v>324.61</v>
      </c>
      <c r="C20" s="150">
        <f t="shared" si="27"/>
        <v>6.145575205</v>
      </c>
      <c r="D20" s="150">
        <f>IFERROR(__xludf.DUMMYFUNCTION("""COMPUTED_VALUE"""),67.83)</f>
        <v>67.83</v>
      </c>
      <c r="E20" s="150">
        <f>IFERROR(__xludf.DUMMYFUNCTION("""COMPUTED_VALUE"""),0.9974999999999999)</f>
        <v>0.9975</v>
      </c>
      <c r="F20" s="150">
        <f t="shared" si="8"/>
        <v>6.145575205</v>
      </c>
      <c r="G20" s="150">
        <f t="shared" si="9"/>
        <v>0</v>
      </c>
      <c r="H20" s="150">
        <f t="shared" si="3"/>
        <v>-8.816266667</v>
      </c>
      <c r="I20" s="150">
        <f t="shared" si="10"/>
        <v>0</v>
      </c>
      <c r="J20" s="150">
        <f t="shared" si="11"/>
        <v>0</v>
      </c>
      <c r="K20" s="151">
        <f t="shared" si="4"/>
        <v>-8.816266667</v>
      </c>
      <c r="L20" s="150">
        <f t="shared" si="5"/>
        <v>0.2752015869</v>
      </c>
      <c r="M20" s="150">
        <f t="shared" si="6"/>
        <v>0.4736842105</v>
      </c>
    </row>
    <row r="21" ht="22.5" customHeight="1">
      <c r="A21" s="149">
        <v>20.0</v>
      </c>
      <c r="B21" s="150">
        <f t="shared" ref="B21:C21" si="28">B20+D21</f>
        <v>253.49</v>
      </c>
      <c r="C21" s="150">
        <f t="shared" si="28"/>
        <v>5.283514599</v>
      </c>
      <c r="D21" s="150">
        <f>IFERROR(__xludf.DUMMYFUNCTION("""COMPUTED_VALUE"""),-71.12)</f>
        <v>-71.12</v>
      </c>
      <c r="E21" s="150">
        <f>IFERROR(__xludf.DUMMYFUNCTION("""COMPUTED_VALUE"""),-0.8620606060606061)</f>
        <v>-0.8620606061</v>
      </c>
      <c r="F21" s="150">
        <f t="shared" si="8"/>
        <v>6.145575205</v>
      </c>
      <c r="G21" s="150">
        <f t="shared" si="9"/>
        <v>-0.8620606061</v>
      </c>
      <c r="H21" s="150">
        <f t="shared" si="3"/>
        <v>-8.816266667</v>
      </c>
      <c r="I21" s="150">
        <f t="shared" si="10"/>
        <v>1</v>
      </c>
      <c r="J21" s="150">
        <f t="shared" si="11"/>
        <v>-0.8620606061</v>
      </c>
      <c r="K21" s="151">
        <f t="shared" si="4"/>
        <v>-8.816266667</v>
      </c>
      <c r="L21" s="150">
        <f t="shared" si="5"/>
        <v>0.2126182536</v>
      </c>
      <c r="M21" s="150">
        <f t="shared" si="6"/>
        <v>0.4736842105</v>
      </c>
    </row>
    <row r="22" ht="22.5" customHeight="1">
      <c r="A22" s="149">
        <v>21.0</v>
      </c>
      <c r="B22" s="150">
        <f t="shared" ref="B22:C22" si="29">B21+D22</f>
        <v>185.32</v>
      </c>
      <c r="C22" s="150">
        <f t="shared" si="29"/>
        <v>4.281014599</v>
      </c>
      <c r="D22" s="150">
        <f>IFERROR(__xludf.DUMMYFUNCTION("""COMPUTED_VALUE"""),-68.17)</f>
        <v>-68.17</v>
      </c>
      <c r="E22" s="150">
        <f>IFERROR(__xludf.DUMMYFUNCTION("""COMPUTED_VALUE"""),-1.0025)</f>
        <v>-1.0025</v>
      </c>
      <c r="F22" s="150">
        <f t="shared" si="8"/>
        <v>6.145575205</v>
      </c>
      <c r="G22" s="150">
        <f t="shared" si="9"/>
        <v>-1.864560606</v>
      </c>
      <c r="H22" s="150">
        <f t="shared" si="3"/>
        <v>-8.816266667</v>
      </c>
      <c r="I22" s="150">
        <f t="shared" si="10"/>
        <v>2</v>
      </c>
      <c r="J22" s="150">
        <f t="shared" si="11"/>
        <v>-1.864560606</v>
      </c>
      <c r="K22" s="151">
        <f t="shared" si="4"/>
        <v>-8.816266667</v>
      </c>
      <c r="L22" s="150">
        <f t="shared" si="5"/>
        <v>0.2291432536</v>
      </c>
      <c r="M22" s="150">
        <f t="shared" si="6"/>
        <v>0.4210526316</v>
      </c>
    </row>
    <row r="23" ht="22.5" customHeight="1">
      <c r="A23" s="149">
        <v>22.0</v>
      </c>
      <c r="B23" s="150">
        <f t="shared" ref="B23:C23" si="30">B22+D23</f>
        <v>185.32</v>
      </c>
      <c r="C23" s="150">
        <f t="shared" si="30"/>
        <v>4.281014599</v>
      </c>
      <c r="D23" s="150">
        <f>IFERROR(__xludf.DUMMYFUNCTION("""COMPUTED_VALUE"""),0.0)</f>
        <v>0</v>
      </c>
      <c r="E23" s="150">
        <f>IFERROR(__xludf.DUMMYFUNCTION("""COMPUTED_VALUE"""),0.0)</f>
        <v>0</v>
      </c>
      <c r="F23" s="150">
        <f t="shared" si="8"/>
        <v>6.145575205</v>
      </c>
      <c r="G23" s="150">
        <f t="shared" si="9"/>
        <v>-1.864560606</v>
      </c>
      <c r="H23" s="150">
        <f t="shared" si="3"/>
        <v>-8.816266667</v>
      </c>
      <c r="I23" s="150">
        <f t="shared" si="10"/>
        <v>0</v>
      </c>
      <c r="J23" s="150">
        <f t="shared" si="11"/>
        <v>0</v>
      </c>
      <c r="K23" s="151">
        <f t="shared" si="4"/>
        <v>-8.816266667</v>
      </c>
      <c r="L23" s="150">
        <f t="shared" si="5"/>
        <v>0.214609029</v>
      </c>
      <c r="M23" s="150">
        <f t="shared" si="6"/>
        <v>0.4444444444</v>
      </c>
    </row>
    <row r="24" ht="22.5" customHeight="1">
      <c r="A24" s="149">
        <v>23.0</v>
      </c>
      <c r="B24" s="150">
        <f t="shared" ref="B24:C24" si="31">B23+D24</f>
        <v>316.12</v>
      </c>
      <c r="C24" s="150">
        <f t="shared" si="31"/>
        <v>6.149586028</v>
      </c>
      <c r="D24" s="150">
        <f>IFERROR(__xludf.DUMMYFUNCTION("""COMPUTED_VALUE"""),130.8)</f>
        <v>130.8</v>
      </c>
      <c r="E24" s="150">
        <f>IFERROR(__xludf.DUMMYFUNCTION("""COMPUTED_VALUE"""),1.8685714285714288)</f>
        <v>1.868571429</v>
      </c>
      <c r="F24" s="150">
        <f t="shared" si="8"/>
        <v>6.149586028</v>
      </c>
      <c r="G24" s="150">
        <f t="shared" si="9"/>
        <v>0</v>
      </c>
      <c r="H24" s="150">
        <f t="shared" si="3"/>
        <v>-8.816266667</v>
      </c>
      <c r="I24" s="150">
        <f t="shared" si="10"/>
        <v>0</v>
      </c>
      <c r="J24" s="150">
        <f t="shared" si="11"/>
        <v>0</v>
      </c>
      <c r="K24" s="151">
        <f t="shared" si="4"/>
        <v>-8.816266667</v>
      </c>
      <c r="L24" s="150">
        <f t="shared" si="5"/>
        <v>0.315034029</v>
      </c>
      <c r="M24" s="150">
        <f t="shared" si="6"/>
        <v>0.5</v>
      </c>
    </row>
    <row r="25" ht="22.5" customHeight="1">
      <c r="A25" s="149">
        <v>24.0</v>
      </c>
      <c r="B25" s="150">
        <f t="shared" ref="B25:C25" si="32">B24+D25</f>
        <v>316.78</v>
      </c>
      <c r="C25" s="150">
        <f t="shared" si="32"/>
        <v>6.149586028</v>
      </c>
      <c r="D25" s="150">
        <f>IFERROR(__xludf.DUMMYFUNCTION("""COMPUTED_VALUE"""),0.66)</f>
        <v>0.66</v>
      </c>
      <c r="E25" s="150">
        <f>IFERROR(__xludf.DUMMYFUNCTION("""COMPUTED_VALUE"""),0.0)</f>
        <v>0</v>
      </c>
      <c r="F25" s="150">
        <f t="shared" si="8"/>
        <v>6.149586028</v>
      </c>
      <c r="G25" s="150">
        <f t="shared" si="9"/>
        <v>0</v>
      </c>
      <c r="H25" s="150">
        <f t="shared" si="3"/>
        <v>-8.816266667</v>
      </c>
      <c r="I25" s="150">
        <f t="shared" si="10"/>
        <v>0</v>
      </c>
      <c r="J25" s="150">
        <f t="shared" si="11"/>
        <v>0</v>
      </c>
      <c r="K25" s="151">
        <f t="shared" si="4"/>
        <v>-8.816266667</v>
      </c>
      <c r="L25" s="150">
        <f t="shared" si="5"/>
        <v>0.2652228864</v>
      </c>
      <c r="M25" s="150">
        <f t="shared" si="6"/>
        <v>0.5294117647</v>
      </c>
    </row>
    <row r="26" ht="22.5" customHeight="1">
      <c r="A26" s="149">
        <v>25.0</v>
      </c>
      <c r="B26" s="150">
        <f t="shared" ref="B26:C26" si="33">B25+D26</f>
        <v>251.03</v>
      </c>
      <c r="C26" s="150">
        <f t="shared" si="33"/>
        <v>5.149586028</v>
      </c>
      <c r="D26" s="150">
        <f>IFERROR(__xludf.DUMMYFUNCTION("""COMPUTED_VALUE"""),-65.75)</f>
        <v>-65.75</v>
      </c>
      <c r="E26" s="150">
        <f>IFERROR(__xludf.DUMMYFUNCTION("""COMPUTED_VALUE"""),-1.0000000000000278)</f>
        <v>-1</v>
      </c>
      <c r="F26" s="150">
        <f t="shared" si="8"/>
        <v>6.149586028</v>
      </c>
      <c r="G26" s="150">
        <f t="shared" si="9"/>
        <v>-1</v>
      </c>
      <c r="H26" s="150">
        <f t="shared" si="3"/>
        <v>-8.816266667</v>
      </c>
      <c r="I26" s="150">
        <f t="shared" si="10"/>
        <v>1</v>
      </c>
      <c r="J26" s="150">
        <f t="shared" si="11"/>
        <v>-1</v>
      </c>
      <c r="K26" s="151">
        <f t="shared" si="4"/>
        <v>-8.816266667</v>
      </c>
      <c r="L26" s="150">
        <f t="shared" si="5"/>
        <v>0.113194315</v>
      </c>
      <c r="M26" s="150">
        <f t="shared" si="6"/>
        <v>0.5294117647</v>
      </c>
    </row>
    <row r="27" ht="22.5" customHeight="1">
      <c r="A27" s="149">
        <v>26.0</v>
      </c>
      <c r="B27" s="150">
        <f t="shared" ref="B27:C27" si="34">B26+D27</f>
        <v>219.51</v>
      </c>
      <c r="C27" s="150">
        <f t="shared" si="34"/>
        <v>4.149427373</v>
      </c>
      <c r="D27" s="150">
        <f>IFERROR(__xludf.DUMMYFUNCTION("""COMPUTED_VALUE"""),-31.52)</f>
        <v>-31.52</v>
      </c>
      <c r="E27" s="150">
        <f>IFERROR(__xludf.DUMMYFUNCTION("""COMPUTED_VALUE"""),-1.0001586546089927)</f>
        <v>-1.000158655</v>
      </c>
      <c r="F27" s="150">
        <f t="shared" si="8"/>
        <v>6.149586028</v>
      </c>
      <c r="G27" s="150">
        <f t="shared" si="9"/>
        <v>-2.000158655</v>
      </c>
      <c r="H27" s="150">
        <f t="shared" si="3"/>
        <v>-8.816266667</v>
      </c>
      <c r="I27" s="150">
        <f t="shared" si="10"/>
        <v>2</v>
      </c>
      <c r="J27" s="150">
        <f t="shared" si="11"/>
        <v>-2.000158655</v>
      </c>
      <c r="K27" s="151">
        <f t="shared" si="4"/>
        <v>-8.816266667</v>
      </c>
      <c r="L27" s="150">
        <f t="shared" si="5"/>
        <v>0.214632807</v>
      </c>
      <c r="M27" s="150">
        <f t="shared" si="6"/>
        <v>0.4705882353</v>
      </c>
    </row>
    <row r="28" ht="22.5" customHeight="1">
      <c r="A28" s="149">
        <v>27.0</v>
      </c>
      <c r="B28" s="150">
        <f t="shared" ref="B28:C28" si="35">B27+D28</f>
        <v>146.74</v>
      </c>
      <c r="C28" s="150">
        <f t="shared" si="35"/>
        <v>3.149358659</v>
      </c>
      <c r="D28" s="150">
        <f>IFERROR(__xludf.DUMMYFUNCTION("""COMPUTED_VALUE"""),-72.77)</f>
        <v>-72.77</v>
      </c>
      <c r="E28" s="150">
        <f>IFERROR(__xludf.DUMMYFUNCTION("""COMPUTED_VALUE"""),-1.0000687143544615)</f>
        <v>-1.000068714</v>
      </c>
      <c r="F28" s="150">
        <f t="shared" si="8"/>
        <v>6.149586028</v>
      </c>
      <c r="G28" s="150">
        <f t="shared" si="9"/>
        <v>-3.000227369</v>
      </c>
      <c r="H28" s="150">
        <f t="shared" si="3"/>
        <v>-8.816266667</v>
      </c>
      <c r="I28" s="150">
        <f t="shared" si="10"/>
        <v>3</v>
      </c>
      <c r="J28" s="150">
        <f t="shared" si="11"/>
        <v>-3.000227369</v>
      </c>
      <c r="K28" s="151">
        <f t="shared" si="4"/>
        <v>-8.816266667</v>
      </c>
      <c r="L28" s="150">
        <f t="shared" si="5"/>
        <v>0.308532807</v>
      </c>
      <c r="M28" s="150">
        <f t="shared" si="6"/>
        <v>0.4705882353</v>
      </c>
    </row>
    <row r="29" ht="22.5" customHeight="1">
      <c r="A29" s="149">
        <v>28.0</v>
      </c>
      <c r="B29" s="150">
        <f t="shared" ref="B29:C29" si="36">B28+D29</f>
        <v>64.31</v>
      </c>
      <c r="C29" s="150">
        <f t="shared" si="36"/>
        <v>2.149297997</v>
      </c>
      <c r="D29" s="150">
        <f>IFERROR(__xludf.DUMMYFUNCTION("""COMPUTED_VALUE"""),-82.43)</f>
        <v>-82.43</v>
      </c>
      <c r="E29" s="150">
        <f>IFERROR(__xludf.DUMMYFUNCTION("""COMPUTED_VALUE"""),-1.000060661207189)</f>
        <v>-1.000060661</v>
      </c>
      <c r="F29" s="150">
        <f t="shared" si="8"/>
        <v>6.149586028</v>
      </c>
      <c r="G29" s="150">
        <f t="shared" si="9"/>
        <v>-4.00028803</v>
      </c>
      <c r="H29" s="150">
        <f t="shared" si="3"/>
        <v>-8.816266667</v>
      </c>
      <c r="I29" s="150">
        <f t="shared" si="10"/>
        <v>4</v>
      </c>
      <c r="J29" s="150">
        <f t="shared" si="11"/>
        <v>-4.00028803</v>
      </c>
      <c r="K29" s="151">
        <f t="shared" si="4"/>
        <v>-8.816266667</v>
      </c>
      <c r="L29" s="150">
        <f t="shared" si="5"/>
        <v>0.3126394411</v>
      </c>
      <c r="M29" s="150">
        <f t="shared" si="6"/>
        <v>0.4705882353</v>
      </c>
    </row>
    <row r="30" ht="22.5" customHeight="1">
      <c r="A30" s="149">
        <v>29.0</v>
      </c>
      <c r="B30" s="150">
        <f t="shared" ref="B30:C30" si="37">B29+D30</f>
        <v>134.42</v>
      </c>
      <c r="C30" s="150">
        <f t="shared" si="37"/>
        <v>3.071797997</v>
      </c>
      <c r="D30" s="150">
        <f>IFERROR(__xludf.DUMMYFUNCTION("""COMPUTED_VALUE"""),70.11)</f>
        <v>70.11</v>
      </c>
      <c r="E30" s="150">
        <f>IFERROR(__xludf.DUMMYFUNCTION("""COMPUTED_VALUE"""),0.9225)</f>
        <v>0.9225</v>
      </c>
      <c r="F30" s="150">
        <f t="shared" si="8"/>
        <v>6.149586028</v>
      </c>
      <c r="G30" s="150">
        <f t="shared" si="9"/>
        <v>-3.07778803</v>
      </c>
      <c r="H30" s="150">
        <f t="shared" si="3"/>
        <v>-8.816266667</v>
      </c>
      <c r="I30" s="150">
        <f t="shared" si="10"/>
        <v>0</v>
      </c>
      <c r="J30" s="150">
        <f t="shared" si="11"/>
        <v>0</v>
      </c>
      <c r="K30" s="151">
        <f t="shared" si="4"/>
        <v>-8.816266667</v>
      </c>
      <c r="L30" s="150">
        <f t="shared" si="5"/>
        <v>0.4462678768</v>
      </c>
      <c r="M30" s="150">
        <f t="shared" si="6"/>
        <v>0.4705882353</v>
      </c>
    </row>
    <row r="31" ht="22.5" customHeight="1">
      <c r="A31" s="149">
        <v>30.0</v>
      </c>
      <c r="B31" s="150">
        <f t="shared" ref="B31:C31" si="38">B30+D31</f>
        <v>17.92</v>
      </c>
      <c r="C31" s="150">
        <f t="shared" si="38"/>
        <v>2.071797997</v>
      </c>
      <c r="D31" s="150">
        <f>IFERROR(__xludf.DUMMYFUNCTION("""COMPUTED_VALUE"""),-116.5)</f>
        <v>-116.5</v>
      </c>
      <c r="E31" s="150">
        <f>IFERROR(__xludf.DUMMYFUNCTION("""COMPUTED_VALUE"""),-1.0000000000000313)</f>
        <v>-1</v>
      </c>
      <c r="F31" s="150">
        <f t="shared" si="8"/>
        <v>6.149586028</v>
      </c>
      <c r="G31" s="150">
        <f t="shared" si="9"/>
        <v>-4.07778803</v>
      </c>
      <c r="H31" s="150">
        <f t="shared" si="3"/>
        <v>-8.816266667</v>
      </c>
      <c r="I31" s="150">
        <f t="shared" si="10"/>
        <v>1</v>
      </c>
      <c r="J31" s="150">
        <f t="shared" si="11"/>
        <v>-1</v>
      </c>
      <c r="K31" s="151">
        <f t="shared" si="4"/>
        <v>-8.816266667</v>
      </c>
      <c r="L31" s="150">
        <f t="shared" si="5"/>
        <v>0.4425865664</v>
      </c>
      <c r="M31" s="150">
        <f t="shared" si="6"/>
        <v>0.4117647059</v>
      </c>
    </row>
    <row r="32" ht="22.5" customHeight="1">
      <c r="A32" s="149">
        <v>31.0</v>
      </c>
      <c r="B32" s="150">
        <f t="shared" ref="B32:C32" si="39">B31+D32</f>
        <v>137.54</v>
      </c>
      <c r="C32" s="150">
        <f t="shared" si="39"/>
        <v>3.768535586</v>
      </c>
      <c r="D32" s="150">
        <f>IFERROR(__xludf.DUMMYFUNCTION("""COMPUTED_VALUE"""),119.62)</f>
        <v>119.62</v>
      </c>
      <c r="E32" s="150">
        <f>IFERROR(__xludf.DUMMYFUNCTION("""COMPUTED_VALUE"""),1.6967375886524823)</f>
        <v>1.696737589</v>
      </c>
      <c r="F32" s="150">
        <f t="shared" si="8"/>
        <v>6.149586028</v>
      </c>
      <c r="G32" s="150">
        <f t="shared" si="9"/>
        <v>-2.381050442</v>
      </c>
      <c r="H32" s="150">
        <f t="shared" si="3"/>
        <v>-8.816266667</v>
      </c>
      <c r="I32" s="150">
        <f t="shared" si="10"/>
        <v>0</v>
      </c>
      <c r="J32" s="150">
        <f t="shared" si="11"/>
        <v>0</v>
      </c>
      <c r="K32" s="151">
        <f t="shared" si="4"/>
        <v>-8.816266667</v>
      </c>
      <c r="L32" s="150">
        <f t="shared" si="5"/>
        <v>0.4838365664</v>
      </c>
      <c r="M32" s="150">
        <f t="shared" si="6"/>
        <v>0.4117647059</v>
      </c>
    </row>
    <row r="33" ht="22.5" customHeight="1">
      <c r="A33" s="149">
        <v>32.0</v>
      </c>
      <c r="B33" s="150">
        <f t="shared" ref="B33:C33" si="40">B32+D33</f>
        <v>230.9</v>
      </c>
      <c r="C33" s="150">
        <f t="shared" si="40"/>
        <v>5.065202253</v>
      </c>
      <c r="D33" s="150">
        <f>IFERROR(__xludf.DUMMYFUNCTION("""COMPUTED_VALUE"""),93.36)</f>
        <v>93.36</v>
      </c>
      <c r="E33" s="150">
        <f>IFERROR(__xludf.DUMMYFUNCTION("""COMPUTED_VALUE"""),1.2966666666666666)</f>
        <v>1.296666667</v>
      </c>
      <c r="F33" s="150">
        <f t="shared" si="8"/>
        <v>6.149586028</v>
      </c>
      <c r="G33" s="150">
        <f t="shared" si="9"/>
        <v>-1.084383775</v>
      </c>
      <c r="H33" s="150">
        <f t="shared" si="3"/>
        <v>-8.816266667</v>
      </c>
      <c r="I33" s="150">
        <f t="shared" si="10"/>
        <v>0</v>
      </c>
      <c r="J33" s="150">
        <f t="shared" si="11"/>
        <v>0</v>
      </c>
      <c r="K33" s="151">
        <f t="shared" si="4"/>
        <v>-8.816266667</v>
      </c>
      <c r="L33" s="150">
        <f t="shared" si="5"/>
        <v>0.540392122</v>
      </c>
      <c r="M33" s="150">
        <f t="shared" si="6"/>
        <v>0.4117647059</v>
      </c>
    </row>
    <row r="34" ht="22.5" customHeight="1">
      <c r="A34" s="149">
        <v>33.0</v>
      </c>
      <c r="B34" s="150">
        <f t="shared" ref="B34:C34" si="41">B33+D34</f>
        <v>349.52</v>
      </c>
      <c r="C34" s="150">
        <f t="shared" si="41"/>
        <v>6.948059396</v>
      </c>
      <c r="D34" s="150">
        <f>IFERROR(__xludf.DUMMYFUNCTION("""COMPUTED_VALUE"""),118.62)</f>
        <v>118.62</v>
      </c>
      <c r="E34" s="150">
        <f>IFERROR(__xludf.DUMMYFUNCTION("""COMPUTED_VALUE"""),1.882857142857143)</f>
        <v>1.882857143</v>
      </c>
      <c r="F34" s="150">
        <f t="shared" si="8"/>
        <v>6.948059396</v>
      </c>
      <c r="G34" s="150">
        <f t="shared" si="9"/>
        <v>0</v>
      </c>
      <c r="H34" s="150">
        <f t="shared" si="3"/>
        <v>-8.816266667</v>
      </c>
      <c r="I34" s="150">
        <f t="shared" si="10"/>
        <v>0</v>
      </c>
      <c r="J34" s="150">
        <f t="shared" si="11"/>
        <v>0</v>
      </c>
      <c r="K34" s="151">
        <f t="shared" si="4"/>
        <v>-8.816266667</v>
      </c>
      <c r="L34" s="150">
        <f t="shared" si="5"/>
        <v>0.4861107981</v>
      </c>
      <c r="M34" s="150">
        <f t="shared" si="6"/>
        <v>0.4117647059</v>
      </c>
    </row>
    <row r="35" ht="22.5" customHeight="1">
      <c r="A35" s="149">
        <v>34.0</v>
      </c>
      <c r="B35" s="150">
        <f t="shared" ref="B35:C35" si="42">B34+D35</f>
        <v>770.77</v>
      </c>
      <c r="C35" s="150">
        <f t="shared" si="42"/>
        <v>9.054309396</v>
      </c>
      <c r="D35" s="150">
        <f>IFERROR(__xludf.DUMMYFUNCTION("""COMPUTED_VALUE"""),421.25)</f>
        <v>421.25</v>
      </c>
      <c r="E35" s="150">
        <f>IFERROR(__xludf.DUMMYFUNCTION("""COMPUTED_VALUE"""),2.10625)</f>
        <v>2.10625</v>
      </c>
      <c r="F35" s="150">
        <f t="shared" si="8"/>
        <v>9.054309396</v>
      </c>
      <c r="G35" s="150">
        <f t="shared" si="9"/>
        <v>0</v>
      </c>
      <c r="H35" s="150">
        <f t="shared" si="3"/>
        <v>-8.816266667</v>
      </c>
      <c r="I35" s="150">
        <f t="shared" si="10"/>
        <v>0</v>
      </c>
      <c r="J35" s="150">
        <f t="shared" si="11"/>
        <v>0</v>
      </c>
      <c r="K35" s="151">
        <f t="shared" si="4"/>
        <v>-8.816266667</v>
      </c>
      <c r="L35" s="150">
        <f t="shared" si="5"/>
        <v>0.3707774648</v>
      </c>
      <c r="M35" s="150">
        <f t="shared" si="6"/>
        <v>0.4705882353</v>
      </c>
    </row>
    <row r="36" ht="22.5" customHeight="1">
      <c r="A36" s="149">
        <v>35.0</v>
      </c>
      <c r="B36" s="150">
        <f t="shared" ref="B36:C36" si="43">B35+D36</f>
        <v>1123.75</v>
      </c>
      <c r="C36" s="150">
        <f t="shared" si="43"/>
        <v>10.73516654</v>
      </c>
      <c r="D36" s="150">
        <f>IFERROR(__xludf.DUMMYFUNCTION("""COMPUTED_VALUE"""),352.98)</f>
        <v>352.98</v>
      </c>
      <c r="E36" s="150">
        <f>IFERROR(__xludf.DUMMYFUNCTION("""COMPUTED_VALUE"""),1.680857142857143)</f>
        <v>1.680857143</v>
      </c>
      <c r="F36" s="150">
        <f t="shared" si="8"/>
        <v>10.73516654</v>
      </c>
      <c r="G36" s="150">
        <f t="shared" si="9"/>
        <v>0</v>
      </c>
      <c r="H36" s="150">
        <f t="shared" si="3"/>
        <v>-8.816266667</v>
      </c>
      <c r="I36" s="150">
        <f t="shared" si="10"/>
        <v>0</v>
      </c>
      <c r="J36" s="150">
        <f t="shared" si="11"/>
        <v>0</v>
      </c>
      <c r="K36" s="151">
        <f t="shared" si="4"/>
        <v>-8.816266667</v>
      </c>
      <c r="L36" s="150">
        <f t="shared" si="5"/>
        <v>0.3223416783</v>
      </c>
      <c r="M36" s="150">
        <f t="shared" si="6"/>
        <v>0.5294117647</v>
      </c>
    </row>
    <row r="37" ht="22.5" customHeight="1">
      <c r="A37" s="149">
        <v>36.0</v>
      </c>
      <c r="B37" s="150">
        <f t="shared" ref="B37:C37" si="44">B36+D37</f>
        <v>1335.06</v>
      </c>
      <c r="C37" s="150">
        <f t="shared" si="44"/>
        <v>11.73191182</v>
      </c>
      <c r="D37" s="150">
        <f>IFERROR(__xludf.DUMMYFUNCTION("""COMPUTED_VALUE"""),211.31)</f>
        <v>211.31</v>
      </c>
      <c r="E37" s="150">
        <f>IFERROR(__xludf.DUMMYFUNCTION("""COMPUTED_VALUE"""),0.9967452830188679)</f>
        <v>0.996745283</v>
      </c>
      <c r="F37" s="150">
        <f t="shared" si="8"/>
        <v>11.73191182</v>
      </c>
      <c r="G37" s="150">
        <f t="shared" si="9"/>
        <v>0</v>
      </c>
      <c r="H37" s="150">
        <f t="shared" si="3"/>
        <v>-8.816266667</v>
      </c>
      <c r="I37" s="150">
        <f t="shared" si="10"/>
        <v>0</v>
      </c>
      <c r="J37" s="150">
        <f t="shared" si="11"/>
        <v>0</v>
      </c>
      <c r="K37" s="151">
        <f t="shared" si="4"/>
        <v>-8.816266667</v>
      </c>
      <c r="L37" s="150">
        <f t="shared" si="5"/>
        <v>0.2509180672</v>
      </c>
      <c r="M37" s="150">
        <f t="shared" si="6"/>
        <v>0.5882352941</v>
      </c>
    </row>
    <row r="38" ht="22.5" customHeight="1">
      <c r="A38" s="149">
        <v>37.0</v>
      </c>
      <c r="B38" s="150">
        <f t="shared" ref="B38:C38" si="45">B37+D38</f>
        <v>1113.7</v>
      </c>
      <c r="C38" s="150">
        <f t="shared" si="45"/>
        <v>10.65210694</v>
      </c>
      <c r="D38" s="150">
        <f>IFERROR(__xludf.DUMMYFUNCTION("""COMPUTED_VALUE"""),-221.36)</f>
        <v>-221.36</v>
      </c>
      <c r="E38" s="150">
        <f>IFERROR(__xludf.DUMMYFUNCTION("""COMPUTED_VALUE"""),-1.0798048780487808)</f>
        <v>-1.079804878</v>
      </c>
      <c r="F38" s="150">
        <f t="shared" si="8"/>
        <v>11.73191182</v>
      </c>
      <c r="G38" s="150">
        <f t="shared" si="9"/>
        <v>-1.079804878</v>
      </c>
      <c r="H38" s="150">
        <f t="shared" si="3"/>
        <v>-8.816266667</v>
      </c>
      <c r="I38" s="150">
        <f t="shared" si="10"/>
        <v>1</v>
      </c>
      <c r="J38" s="150">
        <f t="shared" si="11"/>
        <v>-1.079804878</v>
      </c>
      <c r="K38" s="151">
        <f t="shared" si="4"/>
        <v>-8.816266667</v>
      </c>
      <c r="L38" s="150">
        <f t="shared" si="5"/>
        <v>0.117827591</v>
      </c>
      <c r="M38" s="150">
        <f t="shared" si="6"/>
        <v>0.5294117647</v>
      </c>
    </row>
    <row r="39" ht="22.5" customHeight="1">
      <c r="A39" s="149">
        <v>38.0</v>
      </c>
      <c r="B39" s="150">
        <f t="shared" ref="B39:C39" si="46">B38+D39</f>
        <v>850.85</v>
      </c>
      <c r="C39" s="150">
        <f t="shared" si="46"/>
        <v>9.400440277</v>
      </c>
      <c r="D39" s="150">
        <f>IFERROR(__xludf.DUMMYFUNCTION("""COMPUTED_VALUE"""),-262.85)</f>
        <v>-262.85</v>
      </c>
      <c r="E39" s="150">
        <f>IFERROR(__xludf.DUMMYFUNCTION("""COMPUTED_VALUE"""),-1.2516666666666667)</f>
        <v>-1.251666667</v>
      </c>
      <c r="F39" s="150">
        <f t="shared" si="8"/>
        <v>11.73191182</v>
      </c>
      <c r="G39" s="150">
        <f t="shared" si="9"/>
        <v>-2.331471545</v>
      </c>
      <c r="H39" s="150">
        <f t="shared" si="3"/>
        <v>-8.816266667</v>
      </c>
      <c r="I39" s="150">
        <f t="shared" si="10"/>
        <v>2</v>
      </c>
      <c r="J39" s="150">
        <f t="shared" si="11"/>
        <v>-2.331471545</v>
      </c>
      <c r="K39" s="151">
        <f t="shared" si="4"/>
        <v>-8.816266667</v>
      </c>
      <c r="L39" s="150">
        <f t="shared" si="5"/>
        <v>0.01552727268</v>
      </c>
      <c r="M39" s="150">
        <f t="shared" si="6"/>
        <v>0.5</v>
      </c>
    </row>
    <row r="40" ht="22.5" customHeight="1">
      <c r="A40" s="149">
        <v>39.0</v>
      </c>
      <c r="B40" s="150">
        <f t="shared" ref="B40:C40" si="47">B39+D40</f>
        <v>1116.45</v>
      </c>
      <c r="C40" s="150">
        <f t="shared" si="47"/>
        <v>10.72844028</v>
      </c>
      <c r="D40" s="150">
        <f>IFERROR(__xludf.DUMMYFUNCTION("""COMPUTED_VALUE"""),265.6)</f>
        <v>265.6</v>
      </c>
      <c r="E40" s="150">
        <f>IFERROR(__xludf.DUMMYFUNCTION("""COMPUTED_VALUE"""),1.328)</f>
        <v>1.328</v>
      </c>
      <c r="F40" s="150">
        <f t="shared" si="8"/>
        <v>11.73191182</v>
      </c>
      <c r="G40" s="150">
        <f t="shared" si="9"/>
        <v>-1.003471545</v>
      </c>
      <c r="H40" s="150">
        <f t="shared" si="3"/>
        <v>-8.816266667</v>
      </c>
      <c r="I40" s="150">
        <f t="shared" si="10"/>
        <v>0</v>
      </c>
      <c r="J40" s="150">
        <f t="shared" si="11"/>
        <v>0</v>
      </c>
      <c r="K40" s="151">
        <f t="shared" si="4"/>
        <v>-8.816266667</v>
      </c>
      <c r="L40" s="150">
        <f t="shared" si="5"/>
        <v>0.06951751658</v>
      </c>
      <c r="M40" s="150">
        <f t="shared" si="6"/>
        <v>0.5</v>
      </c>
    </row>
    <row r="41" ht="22.5" customHeight="1">
      <c r="A41" s="149">
        <v>40.0</v>
      </c>
      <c r="B41" s="150">
        <f t="shared" ref="B41:C41" si="48">B40+D41</f>
        <v>881.29</v>
      </c>
      <c r="C41" s="150">
        <f t="shared" si="48"/>
        <v>9.575695179</v>
      </c>
      <c r="D41" s="150">
        <f>IFERROR(__xludf.DUMMYFUNCTION("""COMPUTED_VALUE"""),-235.16)</f>
        <v>-235.16</v>
      </c>
      <c r="E41" s="150">
        <f>IFERROR(__xludf.DUMMYFUNCTION("""COMPUTED_VALUE"""),-1.1527450980392158)</f>
        <v>-1.152745098</v>
      </c>
      <c r="F41" s="150">
        <f t="shared" si="8"/>
        <v>11.73191182</v>
      </c>
      <c r="G41" s="150">
        <f t="shared" si="9"/>
        <v>-2.156216643</v>
      </c>
      <c r="H41" s="150">
        <f t="shared" si="3"/>
        <v>-8.816266667</v>
      </c>
      <c r="I41" s="150">
        <f t="shared" si="10"/>
        <v>1</v>
      </c>
      <c r="J41" s="150">
        <f t="shared" si="11"/>
        <v>-1.152745098</v>
      </c>
      <c r="K41" s="151">
        <f t="shared" si="4"/>
        <v>-8.816266667</v>
      </c>
      <c r="L41" s="150">
        <f t="shared" si="5"/>
        <v>0.0963865642</v>
      </c>
      <c r="M41" s="150">
        <f t="shared" si="6"/>
        <v>0.5</v>
      </c>
    </row>
    <row r="42" ht="22.5" customHeight="1">
      <c r="A42" s="149">
        <v>41.0</v>
      </c>
      <c r="B42" s="150">
        <f t="shared" ref="B42:C42" si="49">B41+D42</f>
        <v>1062.37</v>
      </c>
      <c r="C42" s="150">
        <f t="shared" si="49"/>
        <v>10.58169518</v>
      </c>
      <c r="D42" s="150">
        <f>IFERROR(__xludf.DUMMYFUNCTION("""COMPUTED_VALUE"""),181.08)</f>
        <v>181.08</v>
      </c>
      <c r="E42" s="150">
        <f>IFERROR(__xludf.DUMMYFUNCTION("""COMPUTED_VALUE"""),1.006)</f>
        <v>1.006</v>
      </c>
      <c r="F42" s="150">
        <f t="shared" si="8"/>
        <v>11.73191182</v>
      </c>
      <c r="G42" s="150">
        <f t="shared" si="9"/>
        <v>-1.150216643</v>
      </c>
      <c r="H42" s="150">
        <f t="shared" si="3"/>
        <v>-8.816266667</v>
      </c>
      <c r="I42" s="150">
        <f t="shared" si="10"/>
        <v>0</v>
      </c>
      <c r="J42" s="150">
        <f t="shared" si="11"/>
        <v>0</v>
      </c>
      <c r="K42" s="151">
        <f t="shared" si="4"/>
        <v>-8.816266667</v>
      </c>
      <c r="L42" s="150">
        <f t="shared" si="5"/>
        <v>0.06705799277</v>
      </c>
      <c r="M42" s="150">
        <f t="shared" si="6"/>
        <v>0.5555555556</v>
      </c>
    </row>
    <row r="43" ht="22.5" customHeight="1">
      <c r="A43" s="149">
        <v>42.0</v>
      </c>
      <c r="B43" s="150">
        <f t="shared" ref="B43:C43" si="50">B42+D43</f>
        <v>851.37</v>
      </c>
      <c r="C43" s="150">
        <f t="shared" si="50"/>
        <v>9.585472327</v>
      </c>
      <c r="D43" s="150">
        <f>IFERROR(__xludf.DUMMYFUNCTION("""COMPUTED_VALUE"""),-211.0)</f>
        <v>-211</v>
      </c>
      <c r="E43" s="150">
        <f>IFERROR(__xludf.DUMMYFUNCTION("""COMPUTED_VALUE"""),-0.9962228517469516)</f>
        <v>-0.9962228517</v>
      </c>
      <c r="F43" s="150">
        <f t="shared" si="8"/>
        <v>11.73191182</v>
      </c>
      <c r="G43" s="150">
        <f t="shared" si="9"/>
        <v>-2.146439495</v>
      </c>
      <c r="H43" s="150">
        <f t="shared" si="3"/>
        <v>-8.816266667</v>
      </c>
      <c r="I43" s="150">
        <f t="shared" si="10"/>
        <v>1</v>
      </c>
      <c r="J43" s="150">
        <f t="shared" si="11"/>
        <v>-0.9962228517</v>
      </c>
      <c r="K43" s="151">
        <f t="shared" si="4"/>
        <v>-8.816266667</v>
      </c>
      <c r="L43" s="150">
        <f t="shared" si="5"/>
        <v>0.07826667624</v>
      </c>
      <c r="M43" s="150">
        <f t="shared" si="6"/>
        <v>0.5263157895</v>
      </c>
    </row>
    <row r="44" ht="22.5" customHeight="1">
      <c r="A44" s="149">
        <v>43.0</v>
      </c>
      <c r="B44" s="150">
        <f t="shared" ref="B44:C44" si="51">B43+D44</f>
        <v>616.97</v>
      </c>
      <c r="C44" s="150">
        <f t="shared" si="51"/>
        <v>8.413472327</v>
      </c>
      <c r="D44" s="150">
        <f>IFERROR(__xludf.DUMMYFUNCTION("""COMPUTED_VALUE"""),-234.4)</f>
        <v>-234.4</v>
      </c>
      <c r="E44" s="150">
        <f>IFERROR(__xludf.DUMMYFUNCTION("""COMPUTED_VALUE"""),-1.172)</f>
        <v>-1.172</v>
      </c>
      <c r="F44" s="150">
        <f t="shared" si="8"/>
        <v>11.73191182</v>
      </c>
      <c r="G44" s="150">
        <f t="shared" si="9"/>
        <v>-3.318439495</v>
      </c>
      <c r="H44" s="150">
        <f t="shared" si="3"/>
        <v>-8.816266667</v>
      </c>
      <c r="I44" s="150">
        <f t="shared" si="10"/>
        <v>2</v>
      </c>
      <c r="J44" s="150">
        <f t="shared" si="11"/>
        <v>-2.168222852</v>
      </c>
      <c r="K44" s="151">
        <f t="shared" si="4"/>
        <v>-8.816266667</v>
      </c>
      <c r="L44" s="150">
        <f t="shared" si="5"/>
        <v>0.02796667624</v>
      </c>
      <c r="M44" s="150">
        <f t="shared" si="6"/>
        <v>0.4736842105</v>
      </c>
    </row>
    <row r="45" ht="22.5" customHeight="1">
      <c r="A45" s="149">
        <v>44.0</v>
      </c>
      <c r="B45" s="150">
        <f t="shared" ref="B45:C45" si="52">B44+D45</f>
        <v>1025.97</v>
      </c>
      <c r="C45" s="150">
        <f t="shared" si="52"/>
        <v>10.44224217</v>
      </c>
      <c r="D45" s="150">
        <f>IFERROR(__xludf.DUMMYFUNCTION("""COMPUTED_VALUE"""),409.0)</f>
        <v>409</v>
      </c>
      <c r="E45" s="150">
        <f>IFERROR(__xludf.DUMMYFUNCTION("""COMPUTED_VALUE"""),2.0287698412698414)</f>
        <v>2.028769841</v>
      </c>
      <c r="F45" s="150">
        <f t="shared" si="8"/>
        <v>11.73191182</v>
      </c>
      <c r="G45" s="150">
        <f t="shared" si="9"/>
        <v>-1.289669653</v>
      </c>
      <c r="H45" s="150">
        <f t="shared" si="3"/>
        <v>-8.816266667</v>
      </c>
      <c r="I45" s="150">
        <f t="shared" si="10"/>
        <v>0</v>
      </c>
      <c r="J45" s="150">
        <f t="shared" si="11"/>
        <v>0</v>
      </c>
      <c r="K45" s="151">
        <f t="shared" si="4"/>
        <v>-8.816266667</v>
      </c>
      <c r="L45" s="150">
        <f t="shared" si="5"/>
        <v>0.1561778188</v>
      </c>
      <c r="M45" s="150">
        <f t="shared" si="6"/>
        <v>0.5</v>
      </c>
    </row>
    <row r="46" ht="22.5" customHeight="1">
      <c r="A46" s="149">
        <v>45.0</v>
      </c>
      <c r="B46" s="150">
        <f t="shared" ref="B46:C46" si="53">B45+D46</f>
        <v>1223.52</v>
      </c>
      <c r="C46" s="150">
        <f t="shared" si="53"/>
        <v>11.32024217</v>
      </c>
      <c r="D46" s="150">
        <f>IFERROR(__xludf.DUMMYFUNCTION("""COMPUTED_VALUE"""),197.55)</f>
        <v>197.55</v>
      </c>
      <c r="E46" s="150">
        <f>IFERROR(__xludf.DUMMYFUNCTION("""COMPUTED_VALUE"""),0.878)</f>
        <v>0.878</v>
      </c>
      <c r="F46" s="150">
        <f t="shared" si="8"/>
        <v>11.73191182</v>
      </c>
      <c r="G46" s="150">
        <f t="shared" si="9"/>
        <v>-0.4116696532</v>
      </c>
      <c r="H46" s="150">
        <f t="shared" si="3"/>
        <v>-8.816266667</v>
      </c>
      <c r="I46" s="150">
        <f t="shared" si="10"/>
        <v>0</v>
      </c>
      <c r="J46" s="150">
        <f t="shared" si="11"/>
        <v>0</v>
      </c>
      <c r="K46" s="151">
        <f t="shared" si="4"/>
        <v>-8.816266667</v>
      </c>
      <c r="L46" s="150">
        <f t="shared" si="5"/>
        <v>0.1613611522</v>
      </c>
      <c r="M46" s="150">
        <f t="shared" si="6"/>
        <v>0.55</v>
      </c>
    </row>
    <row r="47" ht="22.5" customHeight="1">
      <c r="A47" s="149">
        <v>46.0</v>
      </c>
      <c r="B47" s="150">
        <f t="shared" ref="B47:C47" si="54">B46+D47</f>
        <v>1046.8</v>
      </c>
      <c r="C47" s="150">
        <f t="shared" si="54"/>
        <v>10.40221619</v>
      </c>
      <c r="D47" s="150">
        <f>IFERROR(__xludf.DUMMYFUNCTION("""COMPUTED_VALUE"""),-176.72)</f>
        <v>-176.72</v>
      </c>
      <c r="E47" s="150">
        <f>IFERROR(__xludf.DUMMYFUNCTION("""COMPUTED_VALUE"""),-0.918025974025974)</f>
        <v>-0.918025974</v>
      </c>
      <c r="F47" s="150">
        <f t="shared" si="8"/>
        <v>11.73191182</v>
      </c>
      <c r="G47" s="150">
        <f t="shared" si="9"/>
        <v>-1.329695627</v>
      </c>
      <c r="H47" s="150">
        <f t="shared" si="3"/>
        <v>-8.816266667</v>
      </c>
      <c r="I47" s="150">
        <f t="shared" si="10"/>
        <v>1</v>
      </c>
      <c r="J47" s="150">
        <f t="shared" si="11"/>
        <v>-0.918025974</v>
      </c>
      <c r="K47" s="151">
        <f t="shared" si="4"/>
        <v>-8.816266667</v>
      </c>
      <c r="L47" s="150">
        <f t="shared" si="5"/>
        <v>0.00699408867</v>
      </c>
      <c r="M47" s="150">
        <f t="shared" si="6"/>
        <v>0.55</v>
      </c>
    </row>
    <row r="48" ht="22.5" customHeight="1">
      <c r="A48" s="149">
        <v>47.0</v>
      </c>
      <c r="B48" s="150">
        <f t="shared" ref="B48:C48" si="55">B47+D48</f>
        <v>1381.3</v>
      </c>
      <c r="C48" s="150">
        <f t="shared" si="55"/>
        <v>12.07471619</v>
      </c>
      <c r="D48" s="150">
        <f>IFERROR(__xludf.DUMMYFUNCTION("""COMPUTED_VALUE"""),334.5)</f>
        <v>334.5</v>
      </c>
      <c r="E48" s="150">
        <f>IFERROR(__xludf.DUMMYFUNCTION("""COMPUTED_VALUE"""),1.6725)</f>
        <v>1.6725</v>
      </c>
      <c r="F48" s="150">
        <f t="shared" si="8"/>
        <v>12.07471619</v>
      </c>
      <c r="G48" s="150">
        <f t="shared" si="9"/>
        <v>0</v>
      </c>
      <c r="H48" s="150">
        <f t="shared" si="3"/>
        <v>-8.816266667</v>
      </c>
      <c r="I48" s="150">
        <f t="shared" si="10"/>
        <v>0</v>
      </c>
      <c r="J48" s="150">
        <f t="shared" si="11"/>
        <v>0</v>
      </c>
      <c r="K48" s="151">
        <f t="shared" si="4"/>
        <v>-8.816266667</v>
      </c>
      <c r="L48" s="150">
        <f t="shared" si="5"/>
        <v>0.04237186645</v>
      </c>
      <c r="M48" s="150">
        <f t="shared" si="6"/>
        <v>0.6</v>
      </c>
    </row>
    <row r="49" ht="22.5" customHeight="1">
      <c r="A49" s="149">
        <v>48.0</v>
      </c>
      <c r="B49" s="150">
        <f t="shared" ref="B49:C49" si="56">B48+D49</f>
        <v>1168.71</v>
      </c>
      <c r="C49" s="150">
        <f t="shared" si="56"/>
        <v>11.00102933</v>
      </c>
      <c r="D49" s="150">
        <f>IFERROR(__xludf.DUMMYFUNCTION("""COMPUTED_VALUE"""),-212.59)</f>
        <v>-212.59</v>
      </c>
      <c r="E49" s="150">
        <f>IFERROR(__xludf.DUMMYFUNCTION("""COMPUTED_VALUE"""),-1.0736868686868688)</f>
        <v>-1.073686869</v>
      </c>
      <c r="F49" s="150">
        <f t="shared" si="8"/>
        <v>12.07471619</v>
      </c>
      <c r="G49" s="150">
        <f t="shared" si="9"/>
        <v>-1.073686869</v>
      </c>
      <c r="H49" s="150">
        <f t="shared" si="3"/>
        <v>-8.816266667</v>
      </c>
      <c r="I49" s="150">
        <f t="shared" si="10"/>
        <v>1</v>
      </c>
      <c r="J49" s="150">
        <f t="shared" si="11"/>
        <v>-1.073686869</v>
      </c>
      <c r="K49" s="151">
        <f t="shared" si="4"/>
        <v>-8.816266667</v>
      </c>
      <c r="L49" s="150">
        <f t="shared" si="5"/>
        <v>0.1028714366</v>
      </c>
      <c r="M49" s="150">
        <f t="shared" si="6"/>
        <v>0.6</v>
      </c>
    </row>
    <row r="50" ht="22.5" customHeight="1">
      <c r="A50" s="149">
        <v>49.0</v>
      </c>
      <c r="B50" s="150">
        <f t="shared" ref="B50:C50" si="57">B49+D50</f>
        <v>1483.26</v>
      </c>
      <c r="C50" s="150">
        <f t="shared" si="57"/>
        <v>12.74852933</v>
      </c>
      <c r="D50" s="150">
        <f>IFERROR(__xludf.DUMMYFUNCTION("""COMPUTED_VALUE"""),314.55)</f>
        <v>314.55</v>
      </c>
      <c r="E50" s="150">
        <f>IFERROR(__xludf.DUMMYFUNCTION("""COMPUTED_VALUE"""),1.7475)</f>
        <v>1.7475</v>
      </c>
      <c r="F50" s="150">
        <f t="shared" si="8"/>
        <v>12.74852933</v>
      </c>
      <c r="G50" s="150">
        <f t="shared" si="9"/>
        <v>0</v>
      </c>
      <c r="H50" s="150">
        <f t="shared" si="3"/>
        <v>-8.816266667</v>
      </c>
      <c r="I50" s="150">
        <f t="shared" si="10"/>
        <v>0</v>
      </c>
      <c r="J50" s="150">
        <f t="shared" si="11"/>
        <v>0</v>
      </c>
      <c r="K50" s="151">
        <f t="shared" si="4"/>
        <v>-8.816266667</v>
      </c>
      <c r="L50" s="150">
        <f t="shared" si="5"/>
        <v>-0.03467664033</v>
      </c>
      <c r="M50" s="150">
        <f t="shared" si="6"/>
        <v>0.6</v>
      </c>
    </row>
    <row r="51" ht="22.5" customHeight="1">
      <c r="A51" s="149">
        <v>50.0</v>
      </c>
      <c r="B51" s="150">
        <f t="shared" ref="B51:C51" si="58">B50+D51</f>
        <v>1509.81</v>
      </c>
      <c r="C51" s="150">
        <f t="shared" si="58"/>
        <v>12.87964044</v>
      </c>
      <c r="D51" s="150">
        <f>IFERROR(__xludf.DUMMYFUNCTION("""COMPUTED_VALUE"""),26.55)</f>
        <v>26.55</v>
      </c>
      <c r="E51" s="150">
        <f>IFERROR(__xludf.DUMMYFUNCTION("""COMPUTED_VALUE"""),0.13111111111111112)</f>
        <v>0.1311111111</v>
      </c>
      <c r="F51" s="150">
        <f t="shared" si="8"/>
        <v>12.87964044</v>
      </c>
      <c r="G51" s="150">
        <f t="shared" si="9"/>
        <v>0</v>
      </c>
      <c r="H51" s="150">
        <f t="shared" si="3"/>
        <v>-8.816266667</v>
      </c>
      <c r="I51" s="150">
        <f t="shared" si="10"/>
        <v>0</v>
      </c>
      <c r="J51" s="150">
        <f t="shared" si="11"/>
        <v>0</v>
      </c>
      <c r="K51" s="151">
        <f t="shared" si="4"/>
        <v>-8.816266667</v>
      </c>
      <c r="L51" s="150">
        <f t="shared" si="5"/>
        <v>-0.03679229689</v>
      </c>
      <c r="M51" s="150">
        <f t="shared" si="6"/>
        <v>0.65</v>
      </c>
    </row>
    <row r="52" ht="22.5" customHeight="1">
      <c r="A52" s="149">
        <v>51.0</v>
      </c>
      <c r="B52" s="150">
        <f t="shared" ref="B52:C52" si="59">B51+D52</f>
        <v>1619.81</v>
      </c>
      <c r="C52" s="150">
        <f t="shared" si="59"/>
        <v>13.49075155</v>
      </c>
      <c r="D52" s="150">
        <f>IFERROR(__xludf.DUMMYFUNCTION("""COMPUTED_VALUE"""),110.0)</f>
        <v>110</v>
      </c>
      <c r="E52" s="150">
        <f>IFERROR(__xludf.DUMMYFUNCTION("""COMPUTED_VALUE"""),0.6111111111111112)</f>
        <v>0.6111111111</v>
      </c>
      <c r="F52" s="150">
        <f t="shared" si="8"/>
        <v>13.49075155</v>
      </c>
      <c r="G52" s="150">
        <f t="shared" si="9"/>
        <v>0</v>
      </c>
      <c r="H52" s="150">
        <f t="shared" si="3"/>
        <v>-8.816266667</v>
      </c>
      <c r="I52" s="150">
        <f t="shared" si="10"/>
        <v>0</v>
      </c>
      <c r="J52" s="150">
        <f t="shared" si="11"/>
        <v>0</v>
      </c>
      <c r="K52" s="151">
        <f t="shared" si="4"/>
        <v>-8.816266667</v>
      </c>
      <c r="L52" s="150">
        <f t="shared" si="5"/>
        <v>-0.1669006302</v>
      </c>
      <c r="M52" s="150">
        <f t="shared" si="6"/>
        <v>0.65</v>
      </c>
    </row>
    <row r="53" ht="22.5" customHeight="1">
      <c r="A53" s="149">
        <v>52.0</v>
      </c>
      <c r="B53" s="150">
        <f t="shared" ref="B53:C53" si="60">B52+D53</f>
        <v>1417.81</v>
      </c>
      <c r="C53" s="150">
        <f t="shared" si="60"/>
        <v>12.48075155</v>
      </c>
      <c r="D53" s="150">
        <f>IFERROR(__xludf.DUMMYFUNCTION("""COMPUTED_VALUE"""),-202.0)</f>
        <v>-202</v>
      </c>
      <c r="E53" s="150">
        <f>IFERROR(__xludf.DUMMYFUNCTION("""COMPUTED_VALUE"""),-1.01)</f>
        <v>-1.01</v>
      </c>
      <c r="F53" s="150">
        <f t="shared" si="8"/>
        <v>13.49075155</v>
      </c>
      <c r="G53" s="150">
        <f t="shared" si="9"/>
        <v>-1.01</v>
      </c>
      <c r="H53" s="150">
        <f t="shared" si="3"/>
        <v>-8.816266667</v>
      </c>
      <c r="I53" s="150">
        <f t="shared" si="10"/>
        <v>1</v>
      </c>
      <c r="J53" s="150">
        <f t="shared" si="11"/>
        <v>-1.01</v>
      </c>
      <c r="K53" s="151">
        <f t="shared" si="4"/>
        <v>-8.816266667</v>
      </c>
      <c r="L53" s="150">
        <f t="shared" si="5"/>
        <v>-0.1620561858</v>
      </c>
      <c r="M53" s="150">
        <f t="shared" si="6"/>
        <v>0.6</v>
      </c>
    </row>
    <row r="54" ht="22.5" customHeight="1">
      <c r="A54" s="149">
        <v>53.0</v>
      </c>
      <c r="B54" s="150">
        <f t="shared" ref="B54:C54" si="61">B53+D54</f>
        <v>1598.81</v>
      </c>
      <c r="C54" s="150">
        <f t="shared" si="61"/>
        <v>13.39489296</v>
      </c>
      <c r="D54" s="150">
        <f>IFERROR(__xludf.DUMMYFUNCTION("""COMPUTED_VALUE"""),181.0)</f>
        <v>181</v>
      </c>
      <c r="E54" s="150">
        <f>IFERROR(__xludf.DUMMYFUNCTION("""COMPUTED_VALUE"""),0.9141414141414141)</f>
        <v>0.9141414141</v>
      </c>
      <c r="F54" s="150">
        <f t="shared" si="8"/>
        <v>13.49075155</v>
      </c>
      <c r="G54" s="150">
        <f t="shared" si="9"/>
        <v>-0.09585858586</v>
      </c>
      <c r="H54" s="150">
        <f t="shared" si="3"/>
        <v>-8.816266667</v>
      </c>
      <c r="I54" s="150">
        <f t="shared" si="10"/>
        <v>0</v>
      </c>
      <c r="J54" s="150">
        <f t="shared" si="11"/>
        <v>0</v>
      </c>
      <c r="K54" s="151">
        <f t="shared" si="4"/>
        <v>-8.816266667</v>
      </c>
      <c r="L54" s="150">
        <f t="shared" si="5"/>
        <v>-0.09523674134</v>
      </c>
      <c r="M54" s="150">
        <f t="shared" si="6"/>
        <v>0.6</v>
      </c>
    </row>
    <row r="55" ht="22.5" customHeight="1">
      <c r="A55" s="149">
        <v>54.0</v>
      </c>
      <c r="B55" s="150">
        <f t="shared" ref="B55:C55" si="62">B54+D55</f>
        <v>1720.81</v>
      </c>
      <c r="C55" s="150">
        <f t="shared" si="62"/>
        <v>14.07267074</v>
      </c>
      <c r="D55" s="150">
        <f>IFERROR(__xludf.DUMMYFUNCTION("""COMPUTED_VALUE"""),122.0)</f>
        <v>122</v>
      </c>
      <c r="E55" s="150">
        <f>IFERROR(__xludf.DUMMYFUNCTION("""COMPUTED_VALUE"""),0.6777777777777778)</f>
        <v>0.6777777778</v>
      </c>
      <c r="F55" s="150">
        <f t="shared" si="8"/>
        <v>14.07267074</v>
      </c>
      <c r="G55" s="150">
        <f t="shared" si="9"/>
        <v>0</v>
      </c>
      <c r="H55" s="150">
        <f t="shared" si="3"/>
        <v>-8.816266667</v>
      </c>
      <c r="I55" s="150">
        <f t="shared" si="10"/>
        <v>0</v>
      </c>
      <c r="J55" s="150">
        <f t="shared" si="11"/>
        <v>0</v>
      </c>
      <c r="K55" s="151">
        <f t="shared" si="4"/>
        <v>-8.816266667</v>
      </c>
      <c r="L55" s="150">
        <f t="shared" si="5"/>
        <v>0.04404103644</v>
      </c>
      <c r="M55" s="150">
        <f t="shared" si="6"/>
        <v>0.6</v>
      </c>
    </row>
    <row r="56" ht="22.5" customHeight="1">
      <c r="A56" s="149">
        <v>55.0</v>
      </c>
      <c r="B56" s="150">
        <f t="shared" ref="B56:C56" si="63">B55+D56</f>
        <v>1514.81</v>
      </c>
      <c r="C56" s="150">
        <f t="shared" si="63"/>
        <v>13.09171836</v>
      </c>
      <c r="D56" s="150">
        <f>IFERROR(__xludf.DUMMYFUNCTION("""COMPUTED_VALUE"""),-206.0)</f>
        <v>-206</v>
      </c>
      <c r="E56" s="150">
        <f>IFERROR(__xludf.DUMMYFUNCTION("""COMPUTED_VALUE"""),-0.9809523809523809)</f>
        <v>-0.980952381</v>
      </c>
      <c r="F56" s="150">
        <f t="shared" si="8"/>
        <v>14.07267074</v>
      </c>
      <c r="G56" s="150">
        <f t="shared" si="9"/>
        <v>-0.980952381</v>
      </c>
      <c r="H56" s="150">
        <f t="shared" si="3"/>
        <v>-8.816266667</v>
      </c>
      <c r="I56" s="150">
        <f t="shared" si="10"/>
        <v>1</v>
      </c>
      <c r="J56" s="150">
        <f t="shared" si="11"/>
        <v>-0.980952381</v>
      </c>
      <c r="K56" s="151">
        <f t="shared" si="4"/>
        <v>-8.816266667</v>
      </c>
      <c r="L56" s="150">
        <f t="shared" si="5"/>
        <v>-0.04516603427</v>
      </c>
      <c r="M56" s="150">
        <f t="shared" si="6"/>
        <v>0.55</v>
      </c>
    </row>
    <row r="57" ht="22.5" customHeight="1">
      <c r="A57" s="149">
        <v>56.0</v>
      </c>
      <c r="B57" s="150">
        <f t="shared" ref="B57:C57" si="64">B56+D57</f>
        <v>1301.81</v>
      </c>
      <c r="C57" s="150">
        <f t="shared" si="64"/>
        <v>12.04245727</v>
      </c>
      <c r="D57" s="150">
        <f>IFERROR(__xludf.DUMMYFUNCTION("""COMPUTED_VALUE"""),-213.0)</f>
        <v>-213</v>
      </c>
      <c r="E57" s="150">
        <f>IFERROR(__xludf.DUMMYFUNCTION("""COMPUTED_VALUE"""),-1.0492610837438423)</f>
        <v>-1.049261084</v>
      </c>
      <c r="F57" s="150">
        <f t="shared" si="8"/>
        <v>14.07267074</v>
      </c>
      <c r="G57" s="150">
        <f t="shared" si="9"/>
        <v>-2.030213465</v>
      </c>
      <c r="H57" s="150">
        <f t="shared" si="3"/>
        <v>-8.816266667</v>
      </c>
      <c r="I57" s="150">
        <f t="shared" si="10"/>
        <v>2</v>
      </c>
      <c r="J57" s="150">
        <f t="shared" si="11"/>
        <v>-2.030213465</v>
      </c>
      <c r="K57" s="151">
        <f t="shared" si="4"/>
        <v>-8.816266667</v>
      </c>
      <c r="L57" s="150">
        <f t="shared" si="5"/>
        <v>-0.07905492316</v>
      </c>
      <c r="M57" s="150">
        <f t="shared" si="6"/>
        <v>0.5</v>
      </c>
    </row>
    <row r="58" ht="22.5" customHeight="1">
      <c r="A58" s="149">
        <v>57.0</v>
      </c>
      <c r="B58" s="150">
        <f t="shared" ref="B58:C58" si="65">B57+D58</f>
        <v>1301.81</v>
      </c>
      <c r="C58" s="150">
        <f t="shared" si="65"/>
        <v>12.04245727</v>
      </c>
      <c r="D58" s="150">
        <f>IFERROR(__xludf.DUMMYFUNCTION("""COMPUTED_VALUE"""),0.0)</f>
        <v>0</v>
      </c>
      <c r="E58" s="150">
        <f>IFERROR(__xludf.DUMMYFUNCTION("""COMPUTED_VALUE"""),0.0)</f>
        <v>0</v>
      </c>
      <c r="F58" s="150">
        <f t="shared" si="8"/>
        <v>14.07267074</v>
      </c>
      <c r="G58" s="150">
        <f t="shared" si="9"/>
        <v>-2.030213465</v>
      </c>
      <c r="H58" s="150">
        <f t="shared" si="3"/>
        <v>-8.816266667</v>
      </c>
      <c r="I58" s="150">
        <f t="shared" si="10"/>
        <v>0</v>
      </c>
      <c r="J58" s="150">
        <f t="shared" si="11"/>
        <v>0</v>
      </c>
      <c r="K58" s="151">
        <f t="shared" si="4"/>
        <v>-8.816266667</v>
      </c>
      <c r="L58" s="150">
        <f t="shared" si="5"/>
        <v>0.06711769589</v>
      </c>
      <c r="M58" s="150">
        <f t="shared" si="6"/>
        <v>0.5263157895</v>
      </c>
    </row>
    <row r="59" ht="22.5" customHeight="1">
      <c r="A59" s="149">
        <v>58.0</v>
      </c>
      <c r="B59" s="150">
        <f t="shared" ref="B59:C59" si="66">B58+D59</f>
        <v>1151.81</v>
      </c>
      <c r="C59" s="150">
        <f t="shared" si="66"/>
        <v>11.32817156</v>
      </c>
      <c r="D59" s="150">
        <f>IFERROR(__xludf.DUMMYFUNCTION("""COMPUTED_VALUE"""),-150.0)</f>
        <v>-150</v>
      </c>
      <c r="E59" s="150">
        <f>IFERROR(__xludf.DUMMYFUNCTION("""COMPUTED_VALUE"""),-0.7142857142857143)</f>
        <v>-0.7142857143</v>
      </c>
      <c r="F59" s="150">
        <f t="shared" si="8"/>
        <v>14.07267074</v>
      </c>
      <c r="G59" s="150">
        <f t="shared" si="9"/>
        <v>-2.744499179</v>
      </c>
      <c r="H59" s="150">
        <f t="shared" si="3"/>
        <v>-8.816266667</v>
      </c>
      <c r="I59" s="150">
        <f t="shared" si="10"/>
        <v>1</v>
      </c>
      <c r="J59" s="150">
        <f t="shared" si="11"/>
        <v>-0.7142857143</v>
      </c>
      <c r="K59" s="151">
        <f t="shared" si="4"/>
        <v>-8.816266667</v>
      </c>
      <c r="L59" s="150">
        <f t="shared" si="5"/>
        <v>0.04241408341</v>
      </c>
      <c r="M59" s="150">
        <f t="shared" si="6"/>
        <v>0.5263157895</v>
      </c>
    </row>
    <row r="60" ht="22.5" customHeight="1">
      <c r="A60" s="149">
        <v>59.0</v>
      </c>
      <c r="B60" s="150">
        <f t="shared" ref="B60:C60" si="67">B59+D60</f>
        <v>1312.7</v>
      </c>
      <c r="C60" s="150">
        <f t="shared" si="67"/>
        <v>12.06960013</v>
      </c>
      <c r="D60" s="150">
        <f>IFERROR(__xludf.DUMMYFUNCTION("""COMPUTED_VALUE"""),160.89)</f>
        <v>160.89</v>
      </c>
      <c r="E60" s="150">
        <f>IFERROR(__xludf.DUMMYFUNCTION("""COMPUTED_VALUE"""),0.7414285714285713)</f>
        <v>0.7414285714</v>
      </c>
      <c r="F60" s="150">
        <f t="shared" si="8"/>
        <v>14.07267074</v>
      </c>
      <c r="G60" s="150">
        <f t="shared" si="9"/>
        <v>-2.003070608</v>
      </c>
      <c r="H60" s="150">
        <f t="shared" si="3"/>
        <v>-8.816266667</v>
      </c>
      <c r="I60" s="150">
        <f t="shared" si="10"/>
        <v>0</v>
      </c>
      <c r="J60" s="150">
        <f t="shared" si="11"/>
        <v>0</v>
      </c>
      <c r="K60" s="151">
        <f t="shared" si="4"/>
        <v>-8.816266667</v>
      </c>
      <c r="L60" s="150">
        <f t="shared" si="5"/>
        <v>0.1273307501</v>
      </c>
      <c r="M60" s="150">
        <f t="shared" si="6"/>
        <v>0.5263157895</v>
      </c>
    </row>
    <row r="61" ht="22.5" customHeight="1">
      <c r="A61" s="149">
        <v>60.0</v>
      </c>
      <c r="B61" s="150">
        <f t="shared" ref="B61:C61" si="68">B60+D61</f>
        <v>1104.7</v>
      </c>
      <c r="C61" s="150">
        <f t="shared" si="68"/>
        <v>11.1410287</v>
      </c>
      <c r="D61" s="150">
        <f>IFERROR(__xludf.DUMMYFUNCTION("""COMPUTED_VALUE"""),-208.0)</f>
        <v>-208</v>
      </c>
      <c r="E61" s="150">
        <f>IFERROR(__xludf.DUMMYFUNCTION("""COMPUTED_VALUE"""),-0.9285714285714286)</f>
        <v>-0.9285714286</v>
      </c>
      <c r="F61" s="150">
        <f t="shared" si="8"/>
        <v>14.07267074</v>
      </c>
      <c r="G61" s="150">
        <f t="shared" si="9"/>
        <v>-2.931642036</v>
      </c>
      <c r="H61" s="150">
        <f t="shared" si="3"/>
        <v>-8.816266667</v>
      </c>
      <c r="I61" s="150">
        <f t="shared" si="10"/>
        <v>1</v>
      </c>
      <c r="J61" s="150">
        <f t="shared" si="11"/>
        <v>-0.9285714286</v>
      </c>
      <c r="K61" s="151">
        <f t="shared" si="4"/>
        <v>-8.816266667</v>
      </c>
      <c r="L61" s="150">
        <f t="shared" si="5"/>
        <v>0.1091700358</v>
      </c>
      <c r="M61" s="150">
        <f t="shared" si="6"/>
        <v>0.5263157895</v>
      </c>
    </row>
    <row r="62" ht="22.5" customHeight="1">
      <c r="A62" s="149">
        <v>61.0</v>
      </c>
      <c r="B62" s="150">
        <f t="shared" ref="B62:C62" si="69">B61+D62</f>
        <v>1104.7</v>
      </c>
      <c r="C62" s="150">
        <f t="shared" si="69"/>
        <v>11.1410287</v>
      </c>
      <c r="D62" s="150">
        <f>IFERROR(__xludf.DUMMYFUNCTION("""COMPUTED_VALUE"""),0.0)</f>
        <v>0</v>
      </c>
      <c r="E62" s="150">
        <f>IFERROR(__xludf.DUMMYFUNCTION("""COMPUTED_VALUE"""),0.0)</f>
        <v>0</v>
      </c>
      <c r="F62" s="150">
        <f t="shared" si="8"/>
        <v>14.07267074</v>
      </c>
      <c r="G62" s="150">
        <f t="shared" si="9"/>
        <v>-2.931642036</v>
      </c>
      <c r="H62" s="150">
        <f t="shared" si="3"/>
        <v>-8.816266667</v>
      </c>
      <c r="I62" s="150">
        <f t="shared" si="10"/>
        <v>0</v>
      </c>
      <c r="J62" s="150">
        <f t="shared" si="11"/>
        <v>0</v>
      </c>
      <c r="K62" s="151">
        <f t="shared" si="4"/>
        <v>-8.816266667</v>
      </c>
      <c r="L62" s="150">
        <f t="shared" si="5"/>
        <v>0.01534860722</v>
      </c>
      <c r="M62" s="150">
        <f t="shared" si="6"/>
        <v>0.5</v>
      </c>
    </row>
    <row r="63" ht="22.5" customHeight="1">
      <c r="A63" s="149">
        <v>62.0</v>
      </c>
      <c r="B63" s="150">
        <f t="shared" ref="B63:C63" si="70">B62+D63</f>
        <v>1437.9</v>
      </c>
      <c r="C63" s="150">
        <f t="shared" si="70"/>
        <v>12.7090287</v>
      </c>
      <c r="D63" s="150">
        <f>IFERROR(__xludf.DUMMYFUNCTION("""COMPUTED_VALUE"""),333.2)</f>
        <v>333.2</v>
      </c>
      <c r="E63" s="150">
        <f>IFERROR(__xludf.DUMMYFUNCTION("""COMPUTED_VALUE"""),1.5679999999999998)</f>
        <v>1.568</v>
      </c>
      <c r="F63" s="150">
        <f t="shared" si="8"/>
        <v>14.07267074</v>
      </c>
      <c r="G63" s="150">
        <f t="shared" si="9"/>
        <v>-1.363642036</v>
      </c>
      <c r="H63" s="150">
        <f t="shared" si="3"/>
        <v>-8.816266667</v>
      </c>
      <c r="I63" s="150">
        <f t="shared" si="10"/>
        <v>0</v>
      </c>
      <c r="J63" s="150">
        <f t="shared" si="11"/>
        <v>0</v>
      </c>
      <c r="K63" s="151">
        <f t="shared" si="4"/>
        <v>-8.816266667</v>
      </c>
      <c r="L63" s="150">
        <f t="shared" si="5"/>
        <v>0.1595271787</v>
      </c>
      <c r="M63" s="150">
        <f t="shared" si="6"/>
        <v>0.5555555556</v>
      </c>
    </row>
    <row r="64" ht="22.5" customHeight="1">
      <c r="A64" s="149">
        <v>63.0</v>
      </c>
      <c r="B64" s="150">
        <f t="shared" ref="B64:C64" si="71">B63+D64</f>
        <v>1232.78</v>
      </c>
      <c r="C64" s="150">
        <f t="shared" si="71"/>
        <v>11.64069537</v>
      </c>
      <c r="D64" s="150">
        <f>IFERROR(__xludf.DUMMYFUNCTION("""COMPUTED_VALUE"""),-205.12)</f>
        <v>-205.12</v>
      </c>
      <c r="E64" s="150">
        <f>IFERROR(__xludf.DUMMYFUNCTION("""COMPUTED_VALUE"""),-1.0683333333333334)</f>
        <v>-1.068333333</v>
      </c>
      <c r="F64" s="150">
        <f t="shared" si="8"/>
        <v>14.07267074</v>
      </c>
      <c r="G64" s="150">
        <f t="shared" si="9"/>
        <v>-2.431975369</v>
      </c>
      <c r="H64" s="150">
        <f t="shared" si="3"/>
        <v>-8.816266667</v>
      </c>
      <c r="I64" s="150">
        <f t="shared" si="10"/>
        <v>1</v>
      </c>
      <c r="J64" s="150">
        <f t="shared" si="11"/>
        <v>-1.068333333</v>
      </c>
      <c r="K64" s="151">
        <f t="shared" si="4"/>
        <v>-8.816266667</v>
      </c>
      <c r="L64" s="150">
        <f t="shared" si="5"/>
        <v>0.2784471787</v>
      </c>
      <c r="M64" s="150">
        <f t="shared" si="6"/>
        <v>0.5555555556</v>
      </c>
    </row>
    <row r="65" ht="22.5" customHeight="1">
      <c r="A65" s="149">
        <v>64.0</v>
      </c>
      <c r="B65" s="150">
        <f t="shared" ref="B65:C65" si="72">B64+D65</f>
        <v>1025.3</v>
      </c>
      <c r="C65" s="150">
        <f t="shared" si="72"/>
        <v>10.58212394</v>
      </c>
      <c r="D65" s="150">
        <f>IFERROR(__xludf.DUMMYFUNCTION("""COMPUTED_VALUE"""),-207.48)</f>
        <v>-207.48</v>
      </c>
      <c r="E65" s="150">
        <f>IFERROR(__xludf.DUMMYFUNCTION("""COMPUTED_VALUE"""),-1.0585714285714285)</f>
        <v>-1.058571429</v>
      </c>
      <c r="F65" s="150">
        <f t="shared" si="8"/>
        <v>14.07267074</v>
      </c>
      <c r="G65" s="150">
        <f t="shared" si="9"/>
        <v>-3.490546798</v>
      </c>
      <c r="H65" s="150">
        <f t="shared" si="3"/>
        <v>-8.816266667</v>
      </c>
      <c r="I65" s="150">
        <f t="shared" si="10"/>
        <v>2</v>
      </c>
      <c r="J65" s="150">
        <f t="shared" si="11"/>
        <v>-2.126904762</v>
      </c>
      <c r="K65" s="151">
        <f t="shared" si="4"/>
        <v>-8.816266667</v>
      </c>
      <c r="L65" s="150">
        <f t="shared" si="5"/>
        <v>0.3179638453</v>
      </c>
      <c r="M65" s="150">
        <f t="shared" si="6"/>
        <v>0.5</v>
      </c>
    </row>
    <row r="66" ht="22.5" customHeight="1">
      <c r="A66" s="149">
        <v>65.0</v>
      </c>
      <c r="B66" s="150">
        <f t="shared" ref="B66:C66" si="73">B65+D66</f>
        <v>1339.24</v>
      </c>
      <c r="C66" s="150">
        <f t="shared" si="73"/>
        <v>12.1676795</v>
      </c>
      <c r="D66" s="150">
        <f>IFERROR(__xludf.DUMMYFUNCTION("""COMPUTED_VALUE"""),313.94)</f>
        <v>313.94</v>
      </c>
      <c r="E66" s="150">
        <f>IFERROR(__xludf.DUMMYFUNCTION("""COMPUTED_VALUE"""),1.5855555555555554)</f>
        <v>1.585555556</v>
      </c>
      <c r="F66" s="150">
        <f t="shared" si="8"/>
        <v>14.07267074</v>
      </c>
      <c r="G66" s="150">
        <f t="shared" si="9"/>
        <v>-1.904991242</v>
      </c>
      <c r="H66" s="150">
        <f t="shared" si="3"/>
        <v>-8.816266667</v>
      </c>
      <c r="I66" s="150">
        <f t="shared" si="10"/>
        <v>0</v>
      </c>
      <c r="J66" s="150">
        <f t="shared" si="11"/>
        <v>0</v>
      </c>
      <c r="K66" s="151">
        <f t="shared" si="4"/>
        <v>-8.816266667</v>
      </c>
      <c r="L66" s="150">
        <f t="shared" si="5"/>
        <v>0.301280512</v>
      </c>
      <c r="M66" s="150">
        <f t="shared" si="6"/>
        <v>0.5</v>
      </c>
    </row>
    <row r="67" ht="22.5" customHeight="1">
      <c r="A67" s="149">
        <v>66.0</v>
      </c>
      <c r="B67" s="150">
        <f t="shared" ref="B67:C67" si="74">B66+D67</f>
        <v>1430.45</v>
      </c>
      <c r="C67" s="150">
        <f t="shared" si="74"/>
        <v>12.45964493</v>
      </c>
      <c r="D67" s="150">
        <f>IFERROR(__xludf.DUMMYFUNCTION("""COMPUTED_VALUE"""),91.21)</f>
        <v>91.21</v>
      </c>
      <c r="E67" s="150">
        <f>IFERROR(__xludf.DUMMYFUNCTION("""COMPUTED_VALUE"""),0.29196542893725985)</f>
        <v>0.2919654289</v>
      </c>
      <c r="F67" s="150">
        <f t="shared" si="8"/>
        <v>14.07267074</v>
      </c>
      <c r="G67" s="150">
        <f t="shared" si="9"/>
        <v>-1.613025814</v>
      </c>
      <c r="H67" s="150">
        <f t="shared" si="3"/>
        <v>-8.816266667</v>
      </c>
      <c r="I67" s="150">
        <f t="shared" si="10"/>
        <v>0</v>
      </c>
      <c r="J67" s="150">
        <f t="shared" si="11"/>
        <v>0</v>
      </c>
      <c r="K67" s="151">
        <f t="shared" si="4"/>
        <v>-8.816266667</v>
      </c>
      <c r="L67" s="150">
        <f t="shared" si="5"/>
        <v>0.2816090834</v>
      </c>
      <c r="M67" s="150">
        <f t="shared" si="6"/>
        <v>0.5555555556</v>
      </c>
    </row>
    <row r="68" ht="22.5" customHeight="1">
      <c r="A68" s="149">
        <v>67.0</v>
      </c>
      <c r="B68" s="150">
        <f t="shared" ref="B68:C68" si="75">B67+D68</f>
        <v>1220.15</v>
      </c>
      <c r="C68" s="150">
        <f t="shared" si="75"/>
        <v>11.38118339</v>
      </c>
      <c r="D68" s="150">
        <f>IFERROR(__xludf.DUMMYFUNCTION("""COMPUTED_VALUE"""),-210.3)</f>
        <v>-210.3</v>
      </c>
      <c r="E68" s="150">
        <f>IFERROR(__xludf.DUMMYFUNCTION("""COMPUTED_VALUE"""),-1.0784615384615386)</f>
        <v>-1.078461538</v>
      </c>
      <c r="F68" s="150">
        <f t="shared" si="8"/>
        <v>14.07267074</v>
      </c>
      <c r="G68" s="150">
        <f t="shared" si="9"/>
        <v>-2.691487352</v>
      </c>
      <c r="H68" s="150">
        <f t="shared" si="3"/>
        <v>-8.816266667</v>
      </c>
      <c r="I68" s="150">
        <f t="shared" si="10"/>
        <v>1</v>
      </c>
      <c r="J68" s="150">
        <f t="shared" si="11"/>
        <v>-1.078461538</v>
      </c>
      <c r="K68" s="151">
        <f t="shared" si="4"/>
        <v>-8.816266667</v>
      </c>
      <c r="L68" s="150">
        <f t="shared" si="5"/>
        <v>0.1362513056</v>
      </c>
      <c r="M68" s="150">
        <f t="shared" si="6"/>
        <v>0.5</v>
      </c>
    </row>
    <row r="69" ht="22.5" customHeight="1">
      <c r="A69" s="149">
        <v>68.0</v>
      </c>
      <c r="B69" s="150">
        <f t="shared" ref="B69:C69" si="76">B68+D69</f>
        <v>980.21</v>
      </c>
      <c r="C69" s="150">
        <f t="shared" si="76"/>
        <v>10.26518339</v>
      </c>
      <c r="D69" s="150">
        <f>IFERROR(__xludf.DUMMYFUNCTION("""COMPUTED_VALUE"""),-239.94)</f>
        <v>-239.94</v>
      </c>
      <c r="E69" s="150">
        <f>IFERROR(__xludf.DUMMYFUNCTION("""COMPUTED_VALUE"""),-1.1159999999999999)</f>
        <v>-1.116</v>
      </c>
      <c r="F69" s="150">
        <f t="shared" si="8"/>
        <v>14.07267074</v>
      </c>
      <c r="G69" s="150">
        <f t="shared" si="9"/>
        <v>-3.807487352</v>
      </c>
      <c r="H69" s="150">
        <f t="shared" si="3"/>
        <v>-8.816266667</v>
      </c>
      <c r="I69" s="150">
        <f t="shared" si="10"/>
        <v>2</v>
      </c>
      <c r="J69" s="150">
        <f t="shared" si="11"/>
        <v>-2.194461538</v>
      </c>
      <c r="K69" s="151">
        <f t="shared" si="4"/>
        <v>-8.816266667</v>
      </c>
      <c r="L69" s="150">
        <f t="shared" si="5"/>
        <v>0.04435303419</v>
      </c>
      <c r="M69" s="150">
        <f t="shared" si="6"/>
        <v>0.5</v>
      </c>
    </row>
    <row r="70" ht="22.5" customHeight="1">
      <c r="A70" s="149">
        <v>69.0</v>
      </c>
      <c r="B70" s="150">
        <f t="shared" ref="B70:C70" si="77">B69+D70</f>
        <v>839.19</v>
      </c>
      <c r="C70" s="150">
        <f t="shared" si="77"/>
        <v>9.410516721</v>
      </c>
      <c r="D70" s="150">
        <f>IFERROR(__xludf.DUMMYFUNCTION("""COMPUTED_VALUE"""),-141.02)</f>
        <v>-141.02</v>
      </c>
      <c r="E70" s="150">
        <f>IFERROR(__xludf.DUMMYFUNCTION("""COMPUTED_VALUE"""),-0.8546666666666667)</f>
        <v>-0.8546666667</v>
      </c>
      <c r="F70" s="150">
        <f t="shared" si="8"/>
        <v>14.07267074</v>
      </c>
      <c r="G70" s="150">
        <f t="shared" si="9"/>
        <v>-4.662154019</v>
      </c>
      <c r="H70" s="150">
        <f t="shared" si="3"/>
        <v>-8.816266667</v>
      </c>
      <c r="I70" s="150">
        <f t="shared" si="10"/>
        <v>3</v>
      </c>
      <c r="J70" s="150">
        <f t="shared" si="11"/>
        <v>-3.049128205</v>
      </c>
      <c r="K70" s="151">
        <f t="shared" si="4"/>
        <v>-8.816266667</v>
      </c>
      <c r="L70" s="150">
        <f t="shared" si="5"/>
        <v>0.04274277778</v>
      </c>
      <c r="M70" s="150">
        <f t="shared" si="6"/>
        <v>0.4444444444</v>
      </c>
    </row>
    <row r="71" ht="22.5" customHeight="1">
      <c r="A71" s="149">
        <v>70.0</v>
      </c>
      <c r="B71" s="150">
        <f t="shared" ref="B71:C71" si="78">B70+D71</f>
        <v>858.57</v>
      </c>
      <c r="C71" s="150">
        <f t="shared" si="78"/>
        <v>9.638516721</v>
      </c>
      <c r="D71" s="150">
        <f>IFERROR(__xludf.DUMMYFUNCTION("""COMPUTED_VALUE"""),19.38)</f>
        <v>19.38</v>
      </c>
      <c r="E71" s="150">
        <f>IFERROR(__xludf.DUMMYFUNCTION("""COMPUTED_VALUE"""),0.22799999999999998)</f>
        <v>0.228</v>
      </c>
      <c r="F71" s="150">
        <f t="shared" si="8"/>
        <v>14.07267074</v>
      </c>
      <c r="G71" s="150">
        <f t="shared" si="9"/>
        <v>-4.434154019</v>
      </c>
      <c r="H71" s="150">
        <f t="shared" si="3"/>
        <v>-8.816266667</v>
      </c>
      <c r="I71" s="150">
        <f t="shared" si="10"/>
        <v>0</v>
      </c>
      <c r="J71" s="150">
        <f t="shared" si="11"/>
        <v>0</v>
      </c>
      <c r="K71" s="151">
        <f t="shared" si="4"/>
        <v>-8.816266667</v>
      </c>
      <c r="L71" s="150">
        <f t="shared" si="5"/>
        <v>-0.0006572222222</v>
      </c>
      <c r="M71" s="150">
        <f t="shared" si="6"/>
        <v>0.4444444444</v>
      </c>
    </row>
    <row r="72" ht="22.5" customHeight="1">
      <c r="A72" s="149">
        <v>71.0</v>
      </c>
      <c r="B72" s="150">
        <f t="shared" ref="B72:C72" si="79">B71+D72</f>
        <v>1092.27</v>
      </c>
      <c r="C72" s="150">
        <f t="shared" si="79"/>
        <v>11.58601672</v>
      </c>
      <c r="D72" s="150">
        <f>IFERROR(__xludf.DUMMYFUNCTION("""COMPUTED_VALUE"""),233.7)</f>
        <v>233.7</v>
      </c>
      <c r="E72" s="150">
        <f>IFERROR(__xludf.DUMMYFUNCTION("""COMPUTED_VALUE"""),1.9475)</f>
        <v>1.9475</v>
      </c>
      <c r="F72" s="150">
        <f t="shared" si="8"/>
        <v>14.07267074</v>
      </c>
      <c r="G72" s="150">
        <f t="shared" si="9"/>
        <v>-2.486654019</v>
      </c>
      <c r="H72" s="150">
        <f t="shared" si="3"/>
        <v>-8.816266667</v>
      </c>
      <c r="I72" s="150">
        <f t="shared" si="10"/>
        <v>0</v>
      </c>
      <c r="J72" s="150">
        <f t="shared" si="11"/>
        <v>0</v>
      </c>
      <c r="K72" s="151">
        <f t="shared" si="4"/>
        <v>-8.816266667</v>
      </c>
      <c r="L72" s="150">
        <f t="shared" si="5"/>
        <v>0.1478677778</v>
      </c>
      <c r="M72" s="150">
        <f t="shared" si="6"/>
        <v>0.4444444444</v>
      </c>
    </row>
    <row r="73" ht="22.5" customHeight="1">
      <c r="A73" s="149">
        <v>72.0</v>
      </c>
      <c r="B73" s="150">
        <f t="shared" ref="B73:C73" si="80">B72+D73</f>
        <v>1331.97</v>
      </c>
      <c r="C73" s="150">
        <f t="shared" si="80"/>
        <v>13.36157228</v>
      </c>
      <c r="D73" s="150">
        <f>IFERROR(__xludf.DUMMYFUNCTION("""COMPUTED_VALUE"""),239.7)</f>
        <v>239.7</v>
      </c>
      <c r="E73" s="150">
        <f>IFERROR(__xludf.DUMMYFUNCTION("""COMPUTED_VALUE"""),1.7755555555555556)</f>
        <v>1.775555556</v>
      </c>
      <c r="F73" s="150">
        <f t="shared" si="8"/>
        <v>14.07267074</v>
      </c>
      <c r="G73" s="150">
        <f t="shared" si="9"/>
        <v>-0.7110984631</v>
      </c>
      <c r="H73" s="150">
        <f t="shared" si="3"/>
        <v>-8.816266667</v>
      </c>
      <c r="I73" s="150">
        <f t="shared" si="10"/>
        <v>0</v>
      </c>
      <c r="J73" s="150">
        <f t="shared" si="11"/>
        <v>0</v>
      </c>
      <c r="K73" s="151">
        <f t="shared" si="4"/>
        <v>-8.816266667</v>
      </c>
      <c r="L73" s="150">
        <f t="shared" si="5"/>
        <v>0.3577677778</v>
      </c>
      <c r="M73" s="150">
        <f t="shared" si="6"/>
        <v>0.5</v>
      </c>
    </row>
    <row r="74" ht="22.5" customHeight="1">
      <c r="A74" s="149">
        <v>73.0</v>
      </c>
      <c r="B74" s="150">
        <f t="shared" ref="B74:C74" si="81">B73+D74</f>
        <v>1196.25</v>
      </c>
      <c r="C74" s="150">
        <f t="shared" si="81"/>
        <v>12.49157228</v>
      </c>
      <c r="D74" s="150">
        <f>IFERROR(__xludf.DUMMYFUNCTION("""COMPUTED_VALUE"""),-135.72)</f>
        <v>-135.72</v>
      </c>
      <c r="E74" s="150">
        <f>IFERROR(__xludf.DUMMYFUNCTION("""COMPUTED_VALUE"""),-0.87)</f>
        <v>-0.87</v>
      </c>
      <c r="F74" s="150">
        <f t="shared" si="8"/>
        <v>14.07267074</v>
      </c>
      <c r="G74" s="150">
        <f t="shared" si="9"/>
        <v>-1.581098463</v>
      </c>
      <c r="H74" s="150">
        <f t="shared" si="3"/>
        <v>-8.816266667</v>
      </c>
      <c r="I74" s="150">
        <f t="shared" si="10"/>
        <v>1</v>
      </c>
      <c r="J74" s="150">
        <f t="shared" si="11"/>
        <v>-0.87</v>
      </c>
      <c r="K74" s="151">
        <f t="shared" si="4"/>
        <v>-8.816266667</v>
      </c>
      <c r="L74" s="150">
        <f t="shared" si="5"/>
        <v>0.05344277778</v>
      </c>
      <c r="M74" s="150">
        <f t="shared" si="6"/>
        <v>0.4444444444</v>
      </c>
    </row>
    <row r="75" ht="22.5" customHeight="1">
      <c r="A75" s="149">
        <v>74.0</v>
      </c>
      <c r="B75" s="150">
        <f t="shared" ref="B75:C75" si="82">B74+D75</f>
        <v>1196.25</v>
      </c>
      <c r="C75" s="150">
        <f t="shared" si="82"/>
        <v>12.49157228</v>
      </c>
      <c r="D75" s="150">
        <f>IFERROR(__xludf.DUMMYFUNCTION("""COMPUTED_VALUE"""),0.0)</f>
        <v>0</v>
      </c>
      <c r="E75" s="150">
        <f>IFERROR(__xludf.DUMMYFUNCTION("""COMPUTED_VALUE"""),0.0)</f>
        <v>0</v>
      </c>
      <c r="F75" s="150">
        <f t="shared" si="8"/>
        <v>14.07267074</v>
      </c>
      <c r="G75" s="150">
        <f t="shared" si="9"/>
        <v>-1.581098463</v>
      </c>
      <c r="H75" s="150">
        <f t="shared" si="3"/>
        <v>-8.816266667</v>
      </c>
      <c r="I75" s="150">
        <f t="shared" si="10"/>
        <v>0</v>
      </c>
      <c r="J75" s="150">
        <f t="shared" si="11"/>
        <v>0</v>
      </c>
      <c r="K75" s="151">
        <f t="shared" si="4"/>
        <v>-8.816266667</v>
      </c>
      <c r="L75" s="150">
        <f t="shared" si="5"/>
        <v>-0.024035</v>
      </c>
      <c r="M75" s="150">
        <f t="shared" si="6"/>
        <v>0.4117647059</v>
      </c>
    </row>
    <row r="76" ht="22.5" customHeight="1">
      <c r="A76" s="149">
        <v>75.0</v>
      </c>
      <c r="B76" s="150">
        <f t="shared" ref="B76:C76" si="83">B75+D76</f>
        <v>1468.2</v>
      </c>
      <c r="C76" s="150">
        <f t="shared" si="83"/>
        <v>14.43407228</v>
      </c>
      <c r="D76" s="150">
        <f>IFERROR(__xludf.DUMMYFUNCTION("""COMPUTED_VALUE"""),271.95)</f>
        <v>271.95</v>
      </c>
      <c r="E76" s="150">
        <f>IFERROR(__xludf.DUMMYFUNCTION("""COMPUTED_VALUE"""),1.9425)</f>
        <v>1.9425</v>
      </c>
      <c r="F76" s="150">
        <f t="shared" si="8"/>
        <v>14.43407228</v>
      </c>
      <c r="G76" s="150">
        <f t="shared" si="9"/>
        <v>0</v>
      </c>
      <c r="H76" s="150">
        <f t="shared" si="3"/>
        <v>-8.816266667</v>
      </c>
      <c r="I76" s="150">
        <f t="shared" si="10"/>
        <v>0</v>
      </c>
      <c r="J76" s="150">
        <f t="shared" si="11"/>
        <v>0</v>
      </c>
      <c r="K76" s="151">
        <f t="shared" si="4"/>
        <v>-8.816266667</v>
      </c>
      <c r="L76" s="150">
        <f t="shared" si="5"/>
        <v>0.130765</v>
      </c>
      <c r="M76" s="150">
        <f t="shared" si="6"/>
        <v>0.4705882353</v>
      </c>
    </row>
    <row r="77" ht="22.5" customHeight="1">
      <c r="A77" s="149">
        <v>76.0</v>
      </c>
      <c r="B77" s="150">
        <f t="shared" ref="B77:C77" si="84">B76+D77</f>
        <v>1315.41</v>
      </c>
      <c r="C77" s="150">
        <f t="shared" si="84"/>
        <v>12.89073894</v>
      </c>
      <c r="D77" s="150">
        <f>IFERROR(__xludf.DUMMYFUNCTION("""COMPUTED_VALUE"""),-152.79)</f>
        <v>-152.79</v>
      </c>
      <c r="E77" s="150">
        <f>IFERROR(__xludf.DUMMYFUNCTION("""COMPUTED_VALUE"""),-1.5433333333333332)</f>
        <v>-1.543333333</v>
      </c>
      <c r="F77" s="150">
        <f t="shared" si="8"/>
        <v>14.43407228</v>
      </c>
      <c r="G77" s="150">
        <f t="shared" si="9"/>
        <v>-1.543333333</v>
      </c>
      <c r="H77" s="150">
        <f t="shared" si="3"/>
        <v>-8.816266667</v>
      </c>
      <c r="I77" s="150">
        <f t="shared" si="10"/>
        <v>1</v>
      </c>
      <c r="J77" s="150">
        <f t="shared" si="11"/>
        <v>-1.543333333</v>
      </c>
      <c r="K77" s="151">
        <f t="shared" si="4"/>
        <v>-8.816266667</v>
      </c>
      <c r="L77" s="150">
        <f t="shared" si="5"/>
        <v>0.1321935714</v>
      </c>
      <c r="M77" s="150">
        <f t="shared" si="6"/>
        <v>0.4705882353</v>
      </c>
    </row>
    <row r="78" ht="22.5" customHeight="1">
      <c r="A78" s="149">
        <v>77.0</v>
      </c>
      <c r="B78" s="150">
        <f t="shared" ref="B78:C78" si="85">B77+D78</f>
        <v>1549.78</v>
      </c>
      <c r="C78" s="150">
        <f t="shared" si="85"/>
        <v>14.58907228</v>
      </c>
      <c r="D78" s="150">
        <f>IFERROR(__xludf.DUMMYFUNCTION("""COMPUTED_VALUE"""),234.37)</f>
        <v>234.37</v>
      </c>
      <c r="E78" s="150">
        <f>IFERROR(__xludf.DUMMYFUNCTION("""COMPUTED_VALUE"""),1.6983333333333335)</f>
        <v>1.698333333</v>
      </c>
      <c r="F78" s="150">
        <f t="shared" si="8"/>
        <v>14.58907228</v>
      </c>
      <c r="G78" s="150">
        <f t="shared" si="9"/>
        <v>0</v>
      </c>
      <c r="H78" s="150">
        <f t="shared" si="3"/>
        <v>-8.816266667</v>
      </c>
      <c r="I78" s="150">
        <f t="shared" si="10"/>
        <v>0</v>
      </c>
      <c r="J78" s="150">
        <f t="shared" si="11"/>
        <v>0</v>
      </c>
      <c r="K78" s="151">
        <f t="shared" si="4"/>
        <v>-8.816266667</v>
      </c>
      <c r="L78" s="150">
        <f t="shared" si="5"/>
        <v>0.1999019048</v>
      </c>
      <c r="M78" s="150">
        <f t="shared" si="6"/>
        <v>0.5</v>
      </c>
    </row>
    <row r="79" ht="22.5" customHeight="1">
      <c r="A79" s="149">
        <v>78.0</v>
      </c>
      <c r="B79" s="150">
        <f t="shared" ref="B79:C79" si="86">B78+D79</f>
        <v>1398.93</v>
      </c>
      <c r="C79" s="150">
        <f t="shared" si="86"/>
        <v>13.51157228</v>
      </c>
      <c r="D79" s="150">
        <f>IFERROR(__xludf.DUMMYFUNCTION("""COMPUTED_VALUE"""),-150.85)</f>
        <v>-150.85</v>
      </c>
      <c r="E79" s="150">
        <f>IFERROR(__xludf.DUMMYFUNCTION("""COMPUTED_VALUE"""),-1.0775)</f>
        <v>-1.0775</v>
      </c>
      <c r="F79" s="150">
        <f t="shared" si="8"/>
        <v>14.58907228</v>
      </c>
      <c r="G79" s="150">
        <f t="shared" si="9"/>
        <v>-1.0775</v>
      </c>
      <c r="H79" s="150">
        <f t="shared" si="3"/>
        <v>-8.816266667</v>
      </c>
      <c r="I79" s="150">
        <f t="shared" si="10"/>
        <v>1</v>
      </c>
      <c r="J79" s="150">
        <f t="shared" si="11"/>
        <v>-1.0775</v>
      </c>
      <c r="K79" s="151">
        <f t="shared" si="4"/>
        <v>-8.816266667</v>
      </c>
      <c r="L79" s="150">
        <f t="shared" si="5"/>
        <v>0.4246185714</v>
      </c>
      <c r="M79" s="150">
        <f t="shared" si="6"/>
        <v>0.5</v>
      </c>
    </row>
    <row r="80" ht="22.5" customHeight="1">
      <c r="A80" s="149">
        <v>79.0</v>
      </c>
      <c r="B80" s="150">
        <f t="shared" ref="B80:C80" si="87">B79+D80</f>
        <v>1240.03</v>
      </c>
      <c r="C80" s="150">
        <f t="shared" si="87"/>
        <v>12.37657228</v>
      </c>
      <c r="D80" s="150">
        <f>IFERROR(__xludf.DUMMYFUNCTION("""COMPUTED_VALUE"""),-158.9)</f>
        <v>-158.9</v>
      </c>
      <c r="E80" s="150">
        <f>IFERROR(__xludf.DUMMYFUNCTION("""COMPUTED_VALUE"""),-1.135)</f>
        <v>-1.135</v>
      </c>
      <c r="F80" s="150">
        <f t="shared" si="8"/>
        <v>14.58907228</v>
      </c>
      <c r="G80" s="150">
        <f t="shared" si="9"/>
        <v>-2.2125</v>
      </c>
      <c r="H80" s="150">
        <f t="shared" si="3"/>
        <v>-8.816266667</v>
      </c>
      <c r="I80" s="150">
        <f t="shared" si="10"/>
        <v>2</v>
      </c>
      <c r="J80" s="150">
        <f t="shared" si="11"/>
        <v>-2.2125</v>
      </c>
      <c r="K80" s="151">
        <f t="shared" si="4"/>
        <v>-8.816266667</v>
      </c>
      <c r="L80" s="150">
        <f t="shared" si="5"/>
        <v>0.2485114286</v>
      </c>
      <c r="M80" s="150">
        <f t="shared" si="6"/>
        <v>0.4444444444</v>
      </c>
    </row>
    <row r="81" ht="22.5" customHeight="1">
      <c r="A81" s="149">
        <v>80.0</v>
      </c>
      <c r="B81" s="150">
        <f t="shared" ref="B81:C81" si="88">B80+D81</f>
        <v>1513.73</v>
      </c>
      <c r="C81" s="150">
        <f t="shared" si="88"/>
        <v>14.33157228</v>
      </c>
      <c r="D81" s="150">
        <f>IFERROR(__xludf.DUMMYFUNCTION("""COMPUTED_VALUE"""),273.7)</f>
        <v>273.7</v>
      </c>
      <c r="E81" s="150">
        <f>IFERROR(__xludf.DUMMYFUNCTION("""COMPUTED_VALUE"""),1.9549999999999998)</f>
        <v>1.955</v>
      </c>
      <c r="F81" s="150">
        <f t="shared" si="8"/>
        <v>14.58907228</v>
      </c>
      <c r="G81" s="150">
        <f t="shared" si="9"/>
        <v>-0.2575</v>
      </c>
      <c r="H81" s="150">
        <f t="shared" si="3"/>
        <v>-8.816266667</v>
      </c>
      <c r="I81" s="150">
        <f t="shared" si="10"/>
        <v>0</v>
      </c>
      <c r="J81" s="150">
        <f t="shared" si="11"/>
        <v>0</v>
      </c>
      <c r="K81" s="151">
        <f t="shared" si="4"/>
        <v>-8.816266667</v>
      </c>
      <c r="L81" s="150">
        <f t="shared" si="5"/>
        <v>0.2840530952</v>
      </c>
      <c r="M81" s="150">
        <f t="shared" si="6"/>
        <v>0.5</v>
      </c>
    </row>
    <row r="82" ht="22.5" customHeight="1">
      <c r="A82" s="149">
        <v>81.0</v>
      </c>
      <c r="B82" s="150">
        <f t="shared" ref="B82:C82" si="89">B81+D82</f>
        <v>2940.77</v>
      </c>
      <c r="C82" s="150">
        <f t="shared" si="89"/>
        <v>16.70997228</v>
      </c>
      <c r="D82" s="150">
        <f>IFERROR(__xludf.DUMMYFUNCTION("""COMPUTED_VALUE"""),1427.04)</f>
        <v>1427.04</v>
      </c>
      <c r="E82" s="150">
        <f>IFERROR(__xludf.DUMMYFUNCTION("""COMPUTED_VALUE"""),2.3784)</f>
        <v>2.3784</v>
      </c>
      <c r="F82" s="150">
        <f t="shared" si="8"/>
        <v>16.70997228</v>
      </c>
      <c r="G82" s="150">
        <f t="shared" si="9"/>
        <v>0</v>
      </c>
      <c r="H82" s="150">
        <f t="shared" si="3"/>
        <v>-8.816266667</v>
      </c>
      <c r="I82" s="150">
        <f t="shared" si="10"/>
        <v>0</v>
      </c>
      <c r="J82" s="150">
        <f t="shared" si="11"/>
        <v>0</v>
      </c>
      <c r="K82" s="151">
        <f t="shared" si="4"/>
        <v>-8.816266667</v>
      </c>
      <c r="L82" s="150">
        <f t="shared" si="5"/>
        <v>0.2771030952</v>
      </c>
      <c r="M82" s="150">
        <f t="shared" si="6"/>
        <v>0.5263157895</v>
      </c>
    </row>
    <row r="83" ht="22.5" customHeight="1">
      <c r="A83" s="149">
        <v>82.0</v>
      </c>
      <c r="B83" s="150">
        <f t="shared" ref="B83:C83" si="90">B82+D83</f>
        <v>4355.77</v>
      </c>
      <c r="C83" s="150">
        <f t="shared" si="90"/>
        <v>19.06830561</v>
      </c>
      <c r="D83" s="150">
        <f>IFERROR(__xludf.DUMMYFUNCTION("""COMPUTED_VALUE"""),1415.0)</f>
        <v>1415</v>
      </c>
      <c r="E83" s="150">
        <f>IFERROR(__xludf.DUMMYFUNCTION("""COMPUTED_VALUE"""),2.3583333333333334)</f>
        <v>2.358333333</v>
      </c>
      <c r="F83" s="150">
        <f t="shared" si="8"/>
        <v>19.06830561</v>
      </c>
      <c r="G83" s="150">
        <f t="shared" si="9"/>
        <v>0</v>
      </c>
      <c r="H83" s="150">
        <f t="shared" si="3"/>
        <v>-8.816266667</v>
      </c>
      <c r="I83" s="150">
        <f t="shared" si="10"/>
        <v>0</v>
      </c>
      <c r="J83" s="150">
        <f t="shared" si="11"/>
        <v>0</v>
      </c>
      <c r="K83" s="151">
        <f t="shared" si="4"/>
        <v>-8.816266667</v>
      </c>
      <c r="L83" s="150">
        <f t="shared" si="5"/>
        <v>0.3051030952</v>
      </c>
      <c r="M83" s="150">
        <f t="shared" si="6"/>
        <v>0.5263157895</v>
      </c>
    </row>
    <row r="84" ht="22.5" customHeight="1">
      <c r="A84" s="149">
        <v>83.0</v>
      </c>
      <c r="B84" s="150">
        <f t="shared" ref="B84:C84" si="91">B83+D84</f>
        <v>3514.57</v>
      </c>
      <c r="C84" s="150">
        <f t="shared" si="91"/>
        <v>17.66630561</v>
      </c>
      <c r="D84" s="150">
        <f>IFERROR(__xludf.DUMMYFUNCTION("""COMPUTED_VALUE"""),-841.2)</f>
        <v>-841.2</v>
      </c>
      <c r="E84" s="150">
        <f>IFERROR(__xludf.DUMMYFUNCTION("""COMPUTED_VALUE"""),-1.4020000000000001)</f>
        <v>-1.402</v>
      </c>
      <c r="F84" s="150">
        <f t="shared" si="8"/>
        <v>19.06830561</v>
      </c>
      <c r="G84" s="150">
        <f t="shared" si="9"/>
        <v>-1.402</v>
      </c>
      <c r="H84" s="150">
        <f t="shared" si="3"/>
        <v>-8.816266667</v>
      </c>
      <c r="I84" s="150">
        <f t="shared" si="10"/>
        <v>1</v>
      </c>
      <c r="J84" s="150">
        <f t="shared" si="11"/>
        <v>-1.402</v>
      </c>
      <c r="K84" s="151">
        <f t="shared" si="4"/>
        <v>-8.816266667</v>
      </c>
      <c r="L84" s="150">
        <f t="shared" si="5"/>
        <v>0.1265164286</v>
      </c>
      <c r="M84" s="150">
        <f t="shared" si="6"/>
        <v>0.5263157895</v>
      </c>
    </row>
    <row r="85" ht="22.5" customHeight="1">
      <c r="A85" s="149">
        <v>84.0</v>
      </c>
      <c r="B85" s="150">
        <f t="shared" ref="B85:C85" si="92">B84+D85</f>
        <v>2643.37</v>
      </c>
      <c r="C85" s="150">
        <f t="shared" si="92"/>
        <v>16.21430561</v>
      </c>
      <c r="D85" s="150">
        <f>IFERROR(__xludf.DUMMYFUNCTION("""COMPUTED_VALUE"""),-871.2)</f>
        <v>-871.2</v>
      </c>
      <c r="E85" s="150">
        <f>IFERROR(__xludf.DUMMYFUNCTION("""COMPUTED_VALUE"""),-1.4520000000000002)</f>
        <v>-1.452</v>
      </c>
      <c r="F85" s="150">
        <f t="shared" si="8"/>
        <v>19.06830561</v>
      </c>
      <c r="G85" s="150">
        <f t="shared" si="9"/>
        <v>-2.854</v>
      </c>
      <c r="H85" s="150">
        <f t="shared" si="3"/>
        <v>-8.816266667</v>
      </c>
      <c r="I85" s="150">
        <f t="shared" si="10"/>
        <v>2</v>
      </c>
      <c r="J85" s="150">
        <f t="shared" si="11"/>
        <v>-2.854</v>
      </c>
      <c r="K85" s="151">
        <f t="shared" si="4"/>
        <v>-8.816266667</v>
      </c>
      <c r="L85" s="150">
        <f t="shared" si="5"/>
        <v>0.016695</v>
      </c>
      <c r="M85" s="150">
        <f t="shared" si="6"/>
        <v>0.5263157895</v>
      </c>
    </row>
    <row r="86" ht="22.5" customHeight="1">
      <c r="A86" s="149">
        <v>85.0</v>
      </c>
      <c r="B86" s="150">
        <f t="shared" ref="B86:C86" si="93">B85+D86</f>
        <v>1850.41</v>
      </c>
      <c r="C86" s="150">
        <f t="shared" si="93"/>
        <v>14.89270561</v>
      </c>
      <c r="D86" s="150">
        <f>IFERROR(__xludf.DUMMYFUNCTION("""COMPUTED_VALUE"""),-792.96)</f>
        <v>-792.96</v>
      </c>
      <c r="E86" s="150">
        <f>IFERROR(__xludf.DUMMYFUNCTION("""COMPUTED_VALUE"""),-1.3216)</f>
        <v>-1.3216</v>
      </c>
      <c r="F86" s="150">
        <f t="shared" si="8"/>
        <v>19.06830561</v>
      </c>
      <c r="G86" s="150">
        <f t="shared" si="9"/>
        <v>-4.1756</v>
      </c>
      <c r="H86" s="150">
        <f t="shared" si="3"/>
        <v>-8.816266667</v>
      </c>
      <c r="I86" s="150">
        <f t="shared" si="10"/>
        <v>3</v>
      </c>
      <c r="J86" s="150">
        <f t="shared" si="11"/>
        <v>-4.1756</v>
      </c>
      <c r="K86" s="151">
        <f t="shared" si="4"/>
        <v>-8.816266667</v>
      </c>
      <c r="L86" s="150">
        <f t="shared" si="5"/>
        <v>0.04162833333</v>
      </c>
      <c r="M86" s="150">
        <f t="shared" si="6"/>
        <v>0.4736842105</v>
      </c>
    </row>
    <row r="87" ht="22.5" customHeight="1">
      <c r="A87" s="149">
        <v>86.0</v>
      </c>
      <c r="B87" s="150">
        <f t="shared" ref="B87:C87" si="94">B86+D87</f>
        <v>922.81</v>
      </c>
      <c r="C87" s="150">
        <f t="shared" si="94"/>
        <v>13.34670561</v>
      </c>
      <c r="D87" s="150">
        <f>IFERROR(__xludf.DUMMYFUNCTION("""COMPUTED_VALUE"""),-927.6)</f>
        <v>-927.6</v>
      </c>
      <c r="E87" s="150">
        <f>IFERROR(__xludf.DUMMYFUNCTION("""COMPUTED_VALUE"""),-1.546)</f>
        <v>-1.546</v>
      </c>
      <c r="F87" s="150">
        <f t="shared" si="8"/>
        <v>19.06830561</v>
      </c>
      <c r="G87" s="150">
        <f t="shared" si="9"/>
        <v>-5.7216</v>
      </c>
      <c r="H87" s="150">
        <f t="shared" si="3"/>
        <v>-8.816266667</v>
      </c>
      <c r="I87" s="150">
        <f t="shared" si="10"/>
        <v>4</v>
      </c>
      <c r="J87" s="150">
        <f t="shared" si="11"/>
        <v>-5.7216</v>
      </c>
      <c r="K87" s="151">
        <f t="shared" si="4"/>
        <v>-8.816266667</v>
      </c>
      <c r="L87" s="150">
        <f t="shared" si="5"/>
        <v>0.06052833333</v>
      </c>
      <c r="M87" s="150">
        <f t="shared" si="6"/>
        <v>0.4210526316</v>
      </c>
    </row>
    <row r="88" ht="22.5" customHeight="1">
      <c r="A88" s="149">
        <v>87.0</v>
      </c>
      <c r="B88" s="150">
        <f t="shared" ref="B88:C88" si="95">B87+D88</f>
        <v>256.41</v>
      </c>
      <c r="C88" s="150">
        <f t="shared" si="95"/>
        <v>12.23603894</v>
      </c>
      <c r="D88" s="150">
        <f>IFERROR(__xludf.DUMMYFUNCTION("""COMPUTED_VALUE"""),-666.4)</f>
        <v>-666.4</v>
      </c>
      <c r="E88" s="150">
        <f>IFERROR(__xludf.DUMMYFUNCTION("""COMPUTED_VALUE"""),-1.1106666666666667)</f>
        <v>-1.110666667</v>
      </c>
      <c r="F88" s="150">
        <f t="shared" si="8"/>
        <v>19.06830561</v>
      </c>
      <c r="G88" s="150">
        <f t="shared" si="9"/>
        <v>-6.832266667</v>
      </c>
      <c r="H88" s="150">
        <f t="shared" si="3"/>
        <v>-8.816266667</v>
      </c>
      <c r="I88" s="150">
        <f t="shared" si="10"/>
        <v>5</v>
      </c>
      <c r="J88" s="150">
        <f t="shared" si="11"/>
        <v>-6.832266667</v>
      </c>
      <c r="K88" s="151">
        <f t="shared" si="4"/>
        <v>-8.816266667</v>
      </c>
      <c r="L88" s="150">
        <f t="shared" si="5"/>
        <v>0.075775</v>
      </c>
      <c r="M88" s="150">
        <f t="shared" si="6"/>
        <v>0.4210526316</v>
      </c>
    </row>
    <row r="89" ht="22.5" customHeight="1">
      <c r="A89" s="149">
        <v>88.0</v>
      </c>
      <c r="B89" s="150">
        <f t="shared" ref="B89:C89" si="96">B88+D89</f>
        <v>-933.99</v>
      </c>
      <c r="C89" s="150">
        <f t="shared" si="96"/>
        <v>10.25203894</v>
      </c>
      <c r="D89" s="150">
        <f>IFERROR(__xludf.DUMMYFUNCTION("""COMPUTED_VALUE"""),-1190.4)</f>
        <v>-1190.4</v>
      </c>
      <c r="E89" s="150">
        <f>IFERROR(__xludf.DUMMYFUNCTION("""COMPUTED_VALUE"""),-1.9840000000000002)</f>
        <v>-1.984</v>
      </c>
      <c r="F89" s="150">
        <f t="shared" si="8"/>
        <v>19.06830561</v>
      </c>
      <c r="G89" s="150">
        <f t="shared" si="9"/>
        <v>-8.816266667</v>
      </c>
      <c r="H89" s="150">
        <f t="shared" si="3"/>
        <v>-8.816266667</v>
      </c>
      <c r="I89" s="150">
        <f t="shared" si="10"/>
        <v>6</v>
      </c>
      <c r="J89" s="150">
        <f t="shared" si="11"/>
        <v>-8.816266667</v>
      </c>
      <c r="K89" s="151">
        <f t="shared" si="4"/>
        <v>-8.816266667</v>
      </c>
      <c r="L89" s="150">
        <f t="shared" si="5"/>
        <v>0.104575</v>
      </c>
      <c r="M89" s="150">
        <f t="shared" si="6"/>
        <v>0.4210526316</v>
      </c>
    </row>
    <row r="90" ht="22.5" customHeight="1">
      <c r="A90" s="149">
        <v>89.0</v>
      </c>
      <c r="B90" s="150">
        <f t="shared" ref="B90:C90" si="97">B89+D90</f>
        <v>335.51</v>
      </c>
      <c r="C90" s="150">
        <f t="shared" si="97"/>
        <v>12.36787228</v>
      </c>
      <c r="D90" s="150">
        <f>IFERROR(__xludf.DUMMYFUNCTION("""COMPUTED_VALUE"""),1269.5)</f>
        <v>1269.5</v>
      </c>
      <c r="E90" s="150">
        <f>IFERROR(__xludf.DUMMYFUNCTION("""COMPUTED_VALUE"""),2.1158333333333332)</f>
        <v>2.115833333</v>
      </c>
      <c r="F90" s="150">
        <f t="shared" si="8"/>
        <v>19.06830561</v>
      </c>
      <c r="G90" s="150">
        <f t="shared" si="9"/>
        <v>-6.700433333</v>
      </c>
      <c r="H90" s="150">
        <f t="shared" si="3"/>
        <v>-8.816266667</v>
      </c>
      <c r="I90" s="150">
        <f t="shared" si="10"/>
        <v>0</v>
      </c>
      <c r="J90" s="150">
        <f t="shared" si="11"/>
        <v>0</v>
      </c>
      <c r="K90" s="151">
        <f t="shared" si="4"/>
        <v>-8.816266667</v>
      </c>
      <c r="L90" s="150">
        <f t="shared" si="5"/>
        <v>0.2982035714</v>
      </c>
      <c r="M90" s="150">
        <f t="shared" si="6"/>
        <v>0.4736842105</v>
      </c>
    </row>
    <row r="91" ht="22.5" customHeight="1">
      <c r="A91" s="149">
        <v>90.0</v>
      </c>
      <c r="B91" s="150">
        <f t="shared" ref="B91:C91" si="98">B90+D91</f>
        <v>1264.97</v>
      </c>
      <c r="C91" s="150">
        <f t="shared" si="98"/>
        <v>16.79387228</v>
      </c>
      <c r="D91" s="150">
        <f>IFERROR(__xludf.DUMMYFUNCTION("""COMPUTED_VALUE"""),929.46)</f>
        <v>929.46</v>
      </c>
      <c r="E91" s="150">
        <f>IFERROR(__xludf.DUMMYFUNCTION("""COMPUTED_VALUE"""),4.426)</f>
        <v>4.426</v>
      </c>
      <c r="F91" s="150">
        <f t="shared" si="8"/>
        <v>19.06830561</v>
      </c>
      <c r="G91" s="150">
        <f t="shared" si="9"/>
        <v>-2.274433333</v>
      </c>
      <c r="H91" s="150">
        <f t="shared" si="3"/>
        <v>-8.816266667</v>
      </c>
      <c r="I91" s="150">
        <f t="shared" si="10"/>
        <v>0</v>
      </c>
      <c r="J91" s="150">
        <f t="shared" si="11"/>
        <v>0</v>
      </c>
      <c r="K91" s="151">
        <f t="shared" si="4"/>
        <v>-8.816266667</v>
      </c>
      <c r="L91" s="150">
        <f t="shared" si="5"/>
        <v>0.6254988095</v>
      </c>
      <c r="M91" s="150">
        <f t="shared" si="6"/>
        <v>0.4736842105</v>
      </c>
    </row>
    <row r="92" ht="22.5" customHeight="1">
      <c r="A92" s="149">
        <v>91.0</v>
      </c>
      <c r="B92" s="150">
        <f t="shared" ref="B92:C92" si="99">B91+D92</f>
        <v>395.78</v>
      </c>
      <c r="C92" s="150">
        <f t="shared" si="99"/>
        <v>12.65487228</v>
      </c>
      <c r="D92" s="150">
        <f>IFERROR(__xludf.DUMMYFUNCTION("""COMPUTED_VALUE"""),-869.19)</f>
        <v>-869.19</v>
      </c>
      <c r="E92" s="150">
        <f>IFERROR(__xludf.DUMMYFUNCTION("""COMPUTED_VALUE"""),-4.139)</f>
        <v>-4.139</v>
      </c>
      <c r="F92" s="150">
        <f t="shared" si="8"/>
        <v>19.06830561</v>
      </c>
      <c r="G92" s="150">
        <f t="shared" si="9"/>
        <v>-6.413433333</v>
      </c>
      <c r="H92" s="150">
        <f t="shared" si="3"/>
        <v>-8.816266667</v>
      </c>
      <c r="I92" s="150">
        <f t="shared" si="10"/>
        <v>1</v>
      </c>
      <c r="J92" s="150">
        <f t="shared" si="11"/>
        <v>-4.139</v>
      </c>
      <c r="K92" s="151">
        <f t="shared" si="4"/>
        <v>-8.816266667</v>
      </c>
      <c r="L92" s="150">
        <f t="shared" si="5"/>
        <v>0.4645404762</v>
      </c>
      <c r="M92" s="150">
        <f t="shared" si="6"/>
        <v>0.4210526316</v>
      </c>
    </row>
    <row r="93" ht="22.5" customHeight="1">
      <c r="A93" s="149">
        <v>92.0</v>
      </c>
      <c r="B93" s="150">
        <f t="shared" ref="B93:C93" si="100">B92+D93</f>
        <v>443.24</v>
      </c>
      <c r="C93" s="150">
        <f t="shared" si="100"/>
        <v>12.88087228</v>
      </c>
      <c r="D93" s="150">
        <f>IFERROR(__xludf.DUMMYFUNCTION("""COMPUTED_VALUE"""),47.46)</f>
        <v>47.46</v>
      </c>
      <c r="E93" s="150">
        <f>IFERROR(__xludf.DUMMYFUNCTION("""COMPUTED_VALUE"""),0.226)</f>
        <v>0.226</v>
      </c>
      <c r="F93" s="150">
        <f t="shared" si="8"/>
        <v>19.06830561</v>
      </c>
      <c r="G93" s="150">
        <f t="shared" si="9"/>
        <v>-6.187433333</v>
      </c>
      <c r="H93" s="150">
        <f t="shared" si="3"/>
        <v>-8.816266667</v>
      </c>
      <c r="I93" s="150">
        <f t="shared" si="10"/>
        <v>0</v>
      </c>
      <c r="J93" s="150">
        <f t="shared" si="11"/>
        <v>0</v>
      </c>
      <c r="K93" s="151">
        <f t="shared" si="4"/>
        <v>-8.816266667</v>
      </c>
      <c r="L93" s="150">
        <f t="shared" si="5"/>
        <v>0.248002381</v>
      </c>
      <c r="M93" s="150">
        <f t="shared" si="6"/>
        <v>0.4210526316</v>
      </c>
    </row>
    <row r="94" ht="22.5" customHeight="1">
      <c r="A94" s="149">
        <v>93.0</v>
      </c>
      <c r="B94" s="150">
        <f t="shared" ref="B94:C94" si="101">B93+D94</f>
        <v>910.7</v>
      </c>
      <c r="C94" s="150">
        <f t="shared" si="101"/>
        <v>15.10687228</v>
      </c>
      <c r="D94" s="150">
        <f>IFERROR(__xludf.DUMMYFUNCTION("""COMPUTED_VALUE"""),467.46)</f>
        <v>467.46</v>
      </c>
      <c r="E94" s="150">
        <f>IFERROR(__xludf.DUMMYFUNCTION("""COMPUTED_VALUE"""),2.226)</f>
        <v>2.226</v>
      </c>
      <c r="F94" s="150">
        <f t="shared" si="8"/>
        <v>19.06830561</v>
      </c>
      <c r="G94" s="150">
        <f t="shared" si="9"/>
        <v>-3.961433333</v>
      </c>
      <c r="H94" s="150">
        <f t="shared" si="3"/>
        <v>-8.816266667</v>
      </c>
      <c r="I94" s="150">
        <f t="shared" si="10"/>
        <v>0</v>
      </c>
      <c r="J94" s="150">
        <f t="shared" si="11"/>
        <v>0</v>
      </c>
      <c r="K94" s="151">
        <f t="shared" si="4"/>
        <v>-8.816266667</v>
      </c>
      <c r="L94" s="150">
        <f t="shared" si="5"/>
        <v>0.396452381</v>
      </c>
      <c r="M94" s="150">
        <f t="shared" si="6"/>
        <v>0.4736842105</v>
      </c>
    </row>
    <row r="95" ht="22.5" customHeight="1">
      <c r="A95" s="149">
        <v>94.0</v>
      </c>
      <c r="B95" s="150">
        <f t="shared" ref="B95:C95" si="102">B94+D95</f>
        <v>916.7</v>
      </c>
      <c r="C95" s="150">
        <f t="shared" si="102"/>
        <v>15.13544371</v>
      </c>
      <c r="D95" s="150">
        <f>IFERROR(__xludf.DUMMYFUNCTION("""COMPUTED_VALUE"""),6.0)</f>
        <v>6</v>
      </c>
      <c r="E95" s="150">
        <f>IFERROR(__xludf.DUMMYFUNCTION("""COMPUTED_VALUE"""),0.02857142857142857)</f>
        <v>0.02857142857</v>
      </c>
      <c r="F95" s="150">
        <f t="shared" si="8"/>
        <v>19.06830561</v>
      </c>
      <c r="G95" s="150">
        <f t="shared" si="9"/>
        <v>-3.932861905</v>
      </c>
      <c r="H95" s="150">
        <f t="shared" si="3"/>
        <v>-8.816266667</v>
      </c>
      <c r="I95" s="150">
        <f t="shared" si="10"/>
        <v>0</v>
      </c>
      <c r="J95" s="150">
        <f t="shared" si="11"/>
        <v>0</v>
      </c>
      <c r="K95" s="151">
        <f t="shared" si="4"/>
        <v>-8.816266667</v>
      </c>
      <c r="L95" s="150">
        <f t="shared" si="5"/>
        <v>0.385152381</v>
      </c>
      <c r="M95" s="150">
        <f t="shared" si="6"/>
        <v>0.5</v>
      </c>
    </row>
    <row r="96" ht="22.5" customHeight="1">
      <c r="A96" s="149">
        <v>95.0</v>
      </c>
      <c r="B96" s="150">
        <f t="shared" ref="B96:C96" si="103">B95+D96</f>
        <v>1609</v>
      </c>
      <c r="C96" s="150">
        <f t="shared" si="103"/>
        <v>18.43211037</v>
      </c>
      <c r="D96" s="150">
        <f>IFERROR(__xludf.DUMMYFUNCTION("""COMPUTED_VALUE"""),692.3)</f>
        <v>692.3</v>
      </c>
      <c r="E96" s="150">
        <f>IFERROR(__xludf.DUMMYFUNCTION("""COMPUTED_VALUE"""),3.2966666666666664)</f>
        <v>3.296666667</v>
      </c>
      <c r="F96" s="150">
        <f t="shared" si="8"/>
        <v>19.06830561</v>
      </c>
      <c r="G96" s="150">
        <f t="shared" si="9"/>
        <v>-0.6361952381</v>
      </c>
      <c r="H96" s="150">
        <f t="shared" si="3"/>
        <v>-8.816266667</v>
      </c>
      <c r="I96" s="150">
        <f t="shared" si="10"/>
        <v>0</v>
      </c>
      <c r="J96" s="150">
        <f t="shared" si="11"/>
        <v>0</v>
      </c>
      <c r="K96" s="151">
        <f t="shared" si="4"/>
        <v>-8.816266667</v>
      </c>
      <c r="L96" s="150">
        <f t="shared" si="5"/>
        <v>0.415152381</v>
      </c>
      <c r="M96" s="150">
        <f t="shared" si="6"/>
        <v>0.5</v>
      </c>
    </row>
    <row r="97" ht="22.5" customHeight="1">
      <c r="A97" s="149">
        <v>96.0</v>
      </c>
      <c r="B97" s="150">
        <f t="shared" ref="B97:C97" si="104">B96+D97</f>
        <v>2228.71</v>
      </c>
      <c r="C97" s="150">
        <f t="shared" si="104"/>
        <v>21.38311037</v>
      </c>
      <c r="D97" s="150">
        <f>IFERROR(__xludf.DUMMYFUNCTION("""COMPUTED_VALUE"""),619.71)</f>
        <v>619.71</v>
      </c>
      <c r="E97" s="150">
        <f>IFERROR(__xludf.DUMMYFUNCTION("""COMPUTED_VALUE"""),2.951)</f>
        <v>2.951</v>
      </c>
      <c r="F97" s="150">
        <f t="shared" si="8"/>
        <v>21.38311037</v>
      </c>
      <c r="G97" s="150">
        <f t="shared" si="9"/>
        <v>0</v>
      </c>
      <c r="H97" s="150">
        <f t="shared" si="3"/>
        <v>-8.816266667</v>
      </c>
      <c r="I97" s="150">
        <f t="shared" si="10"/>
        <v>0</v>
      </c>
      <c r="J97" s="150">
        <f t="shared" si="11"/>
        <v>0</v>
      </c>
      <c r="K97" s="151">
        <f t="shared" si="4"/>
        <v>-8.816266667</v>
      </c>
      <c r="L97" s="150">
        <f t="shared" si="5"/>
        <v>0.5516904762</v>
      </c>
      <c r="M97" s="150">
        <f t="shared" si="6"/>
        <v>0.55</v>
      </c>
    </row>
    <row r="98" ht="22.5" customHeight="1">
      <c r="A98" s="149">
        <v>97.0</v>
      </c>
      <c r="B98" s="150">
        <f t="shared" ref="B98:C98" si="105">B97+D98</f>
        <v>1845.71</v>
      </c>
      <c r="C98" s="150">
        <f t="shared" si="105"/>
        <v>19.55930085</v>
      </c>
      <c r="D98" s="150">
        <f>IFERROR(__xludf.DUMMYFUNCTION("""COMPUTED_VALUE"""),-383.0)</f>
        <v>-383</v>
      </c>
      <c r="E98" s="150">
        <f>IFERROR(__xludf.DUMMYFUNCTION("""COMPUTED_VALUE"""),-1.8238095238095238)</f>
        <v>-1.823809524</v>
      </c>
      <c r="F98" s="150">
        <f t="shared" si="8"/>
        <v>21.38311037</v>
      </c>
      <c r="G98" s="150">
        <f t="shared" si="9"/>
        <v>-1.823809524</v>
      </c>
      <c r="H98" s="150">
        <f t="shared" si="3"/>
        <v>-8.816266667</v>
      </c>
      <c r="I98" s="150">
        <f t="shared" si="10"/>
        <v>1</v>
      </c>
      <c r="J98" s="150">
        <f t="shared" si="11"/>
        <v>-1.823809524</v>
      </c>
      <c r="K98" s="151">
        <f t="shared" si="4"/>
        <v>-8.816266667</v>
      </c>
      <c r="L98" s="150">
        <f t="shared" si="5"/>
        <v>0.3298238095</v>
      </c>
      <c r="M98" s="150">
        <f t="shared" si="6"/>
        <v>0.5</v>
      </c>
    </row>
    <row r="99" ht="22.5" customHeight="1">
      <c r="A99" s="149">
        <v>98.0</v>
      </c>
      <c r="B99" s="150">
        <f t="shared" ref="B99:C99" si="106">B98+D99</f>
        <v>1768.71</v>
      </c>
      <c r="C99" s="150">
        <f t="shared" si="106"/>
        <v>19.19263418</v>
      </c>
      <c r="D99" s="150">
        <f>IFERROR(__xludf.DUMMYFUNCTION("""COMPUTED_VALUE"""),-77.0)</f>
        <v>-77</v>
      </c>
      <c r="E99" s="150">
        <f>IFERROR(__xludf.DUMMYFUNCTION("""COMPUTED_VALUE"""),-0.36666666666666664)</f>
        <v>-0.3666666667</v>
      </c>
      <c r="F99" s="150">
        <f t="shared" si="8"/>
        <v>21.38311037</v>
      </c>
      <c r="G99" s="150">
        <f t="shared" si="9"/>
        <v>-2.19047619</v>
      </c>
      <c r="H99" s="150">
        <f t="shared" si="3"/>
        <v>-8.816266667</v>
      </c>
      <c r="I99" s="150">
        <f t="shared" si="10"/>
        <v>2</v>
      </c>
      <c r="J99" s="150">
        <f t="shared" si="11"/>
        <v>-2.19047619</v>
      </c>
      <c r="K99" s="151">
        <f t="shared" si="4"/>
        <v>-8.816266667</v>
      </c>
      <c r="L99" s="150">
        <f t="shared" si="5"/>
        <v>0.3198738095</v>
      </c>
      <c r="M99" s="150">
        <f t="shared" si="6"/>
        <v>0.5</v>
      </c>
    </row>
    <row r="100" ht="22.5" customHeight="1">
      <c r="A100" s="149">
        <v>99.0</v>
      </c>
      <c r="B100" s="150">
        <f t="shared" ref="B100:C100" si="107">B99+D100</f>
        <v>1501.17</v>
      </c>
      <c r="C100" s="150">
        <f t="shared" si="107"/>
        <v>17.91863418</v>
      </c>
      <c r="D100" s="150">
        <f>IFERROR(__xludf.DUMMYFUNCTION("""COMPUTED_VALUE"""),-267.54)</f>
        <v>-267.54</v>
      </c>
      <c r="E100" s="150">
        <f>IFERROR(__xludf.DUMMYFUNCTION("""COMPUTED_VALUE"""),-1.274)</f>
        <v>-1.274</v>
      </c>
      <c r="F100" s="150">
        <f t="shared" si="8"/>
        <v>21.38311037</v>
      </c>
      <c r="G100" s="150">
        <f t="shared" si="9"/>
        <v>-3.46447619</v>
      </c>
      <c r="H100" s="150">
        <f t="shared" si="3"/>
        <v>-8.816266667</v>
      </c>
      <c r="I100" s="150">
        <f t="shared" si="10"/>
        <v>3</v>
      </c>
      <c r="J100" s="150">
        <f t="shared" si="11"/>
        <v>-3.46447619</v>
      </c>
      <c r="K100" s="151">
        <f t="shared" si="4"/>
        <v>-8.816266667</v>
      </c>
      <c r="L100" s="150">
        <f t="shared" si="5"/>
        <v>0.360697619</v>
      </c>
      <c r="M100" s="150">
        <f t="shared" si="6"/>
        <v>0.5</v>
      </c>
    </row>
    <row r="101" ht="22.5" customHeight="1">
      <c r="A101" s="149">
        <v>100.0</v>
      </c>
      <c r="B101" s="150">
        <f t="shared" ref="B101:C101" si="108">B100+D101</f>
        <v>1828.12</v>
      </c>
      <c r="C101" s="150">
        <f t="shared" si="108"/>
        <v>20.43363418</v>
      </c>
      <c r="D101" s="150">
        <f>IFERROR(__xludf.DUMMYFUNCTION("""COMPUTED_VALUE"""),326.95)</f>
        <v>326.95</v>
      </c>
      <c r="E101" s="150">
        <f>IFERROR(__xludf.DUMMYFUNCTION("""COMPUTED_VALUE"""),2.515)</f>
        <v>2.515</v>
      </c>
      <c r="F101" s="150">
        <f t="shared" si="8"/>
        <v>21.38311037</v>
      </c>
      <c r="G101" s="150">
        <f t="shared" si="9"/>
        <v>-0.9494761905</v>
      </c>
      <c r="H101" s="150">
        <f t="shared" si="3"/>
        <v>-8.816266667</v>
      </c>
      <c r="I101" s="150">
        <f t="shared" si="10"/>
        <v>0</v>
      </c>
      <c r="J101" s="150">
        <f t="shared" si="11"/>
        <v>0</v>
      </c>
      <c r="K101" s="151">
        <f t="shared" si="4"/>
        <v>-8.816266667</v>
      </c>
      <c r="L101" s="150">
        <f t="shared" si="5"/>
        <v>0.5105309524</v>
      </c>
      <c r="M101" s="150">
        <f t="shared" si="6"/>
        <v>0.5</v>
      </c>
    </row>
    <row r="102" ht="22.5" customHeight="1">
      <c r="A102" s="149">
        <v>101.0</v>
      </c>
      <c r="B102" s="150">
        <f t="shared" ref="B102:C102" si="109">B101+D102</f>
        <v>1577.52</v>
      </c>
      <c r="C102" s="150">
        <f t="shared" si="109"/>
        <v>19.24030085</v>
      </c>
      <c r="D102" s="150">
        <f>IFERROR(__xludf.DUMMYFUNCTION("""COMPUTED_VALUE"""),-250.6)</f>
        <v>-250.6</v>
      </c>
      <c r="E102" s="150">
        <f>IFERROR(__xludf.DUMMYFUNCTION("""COMPUTED_VALUE"""),-1.1933333333333334)</f>
        <v>-1.193333333</v>
      </c>
      <c r="F102" s="150">
        <f t="shared" si="8"/>
        <v>21.38311037</v>
      </c>
      <c r="G102" s="150">
        <f t="shared" si="9"/>
        <v>-2.142809524</v>
      </c>
      <c r="H102" s="150">
        <f t="shared" si="3"/>
        <v>-8.816266667</v>
      </c>
      <c r="I102" s="150">
        <f t="shared" si="10"/>
        <v>1</v>
      </c>
      <c r="J102" s="150">
        <f t="shared" si="11"/>
        <v>-1.193333333</v>
      </c>
      <c r="K102" s="151">
        <f t="shared" si="4"/>
        <v>-8.816266667</v>
      </c>
      <c r="L102" s="150">
        <f t="shared" si="5"/>
        <v>0.522197619</v>
      </c>
      <c r="M102" s="150">
        <f t="shared" si="6"/>
        <v>0.45</v>
      </c>
    </row>
    <row r="103" ht="22.5" customHeight="1">
      <c r="A103" s="149">
        <v>102.0</v>
      </c>
      <c r="B103" s="150">
        <f t="shared" ref="B103:C103" si="110">B102+D103</f>
        <v>1611.52</v>
      </c>
      <c r="C103" s="150">
        <f t="shared" si="110"/>
        <v>19.40220561</v>
      </c>
      <c r="D103" s="150">
        <f>IFERROR(__xludf.DUMMYFUNCTION("""COMPUTED_VALUE"""),34.0)</f>
        <v>34</v>
      </c>
      <c r="E103" s="150">
        <f>IFERROR(__xludf.DUMMYFUNCTION("""COMPUTED_VALUE"""),0.1619047619047619)</f>
        <v>0.1619047619</v>
      </c>
      <c r="F103" s="150">
        <f t="shared" si="8"/>
        <v>21.38311037</v>
      </c>
      <c r="G103" s="150">
        <f t="shared" si="9"/>
        <v>-1.980904762</v>
      </c>
      <c r="H103" s="150">
        <f t="shared" si="3"/>
        <v>-8.816266667</v>
      </c>
      <c r="I103" s="150">
        <f t="shared" si="10"/>
        <v>0</v>
      </c>
      <c r="J103" s="150">
        <f t="shared" si="11"/>
        <v>0</v>
      </c>
      <c r="K103" s="151">
        <f t="shared" si="4"/>
        <v>-8.816266667</v>
      </c>
      <c r="L103" s="150">
        <f t="shared" si="5"/>
        <v>0.3559309524</v>
      </c>
      <c r="M103" s="150">
        <f t="shared" si="6"/>
        <v>0.45</v>
      </c>
    </row>
    <row r="104" ht="22.5" customHeight="1">
      <c r="A104" s="149">
        <v>103.0</v>
      </c>
      <c r="B104" s="150">
        <f t="shared" ref="B104:C104" si="111">B103+D104</f>
        <v>1421.82</v>
      </c>
      <c r="C104" s="150">
        <f t="shared" si="111"/>
        <v>18.49887228</v>
      </c>
      <c r="D104" s="150">
        <f>IFERROR(__xludf.DUMMYFUNCTION("""COMPUTED_VALUE"""),-189.7)</f>
        <v>-189.7</v>
      </c>
      <c r="E104" s="150">
        <f>IFERROR(__xludf.DUMMYFUNCTION("""COMPUTED_VALUE"""),-0.9033333333333333)</f>
        <v>-0.9033333333</v>
      </c>
      <c r="F104" s="150">
        <f t="shared" si="8"/>
        <v>21.38311037</v>
      </c>
      <c r="G104" s="150">
        <f t="shared" si="9"/>
        <v>-2.884238095</v>
      </c>
      <c r="H104" s="150">
        <f t="shared" si="3"/>
        <v>-8.816266667</v>
      </c>
      <c r="I104" s="150">
        <f t="shared" si="10"/>
        <v>1</v>
      </c>
      <c r="J104" s="150">
        <f t="shared" si="11"/>
        <v>-0.9033333333</v>
      </c>
      <c r="K104" s="151">
        <f t="shared" si="4"/>
        <v>-8.816266667</v>
      </c>
      <c r="L104" s="150">
        <f t="shared" si="5"/>
        <v>0.415597619</v>
      </c>
      <c r="M104" s="150">
        <f t="shared" si="6"/>
        <v>0.45</v>
      </c>
    </row>
    <row r="105" ht="22.5" customHeight="1">
      <c r="A105" s="149">
        <v>104.0</v>
      </c>
      <c r="B105" s="150">
        <f t="shared" ref="B105:C105" si="112">B104+D105</f>
        <v>1196.28</v>
      </c>
      <c r="C105" s="150">
        <f t="shared" si="112"/>
        <v>17.42487228</v>
      </c>
      <c r="D105" s="150">
        <f>IFERROR(__xludf.DUMMYFUNCTION("""COMPUTED_VALUE"""),-225.54)</f>
        <v>-225.54</v>
      </c>
      <c r="E105" s="150">
        <f>IFERROR(__xludf.DUMMYFUNCTION("""COMPUTED_VALUE"""),-1.074)</f>
        <v>-1.074</v>
      </c>
      <c r="F105" s="150">
        <f t="shared" si="8"/>
        <v>21.38311037</v>
      </c>
      <c r="G105" s="150">
        <f t="shared" si="9"/>
        <v>-3.958238095</v>
      </c>
      <c r="H105" s="150">
        <f t="shared" si="3"/>
        <v>-8.816266667</v>
      </c>
      <c r="I105" s="150">
        <f t="shared" si="10"/>
        <v>2</v>
      </c>
      <c r="J105" s="150">
        <f t="shared" si="11"/>
        <v>-1.977333333</v>
      </c>
      <c r="K105" s="151">
        <f t="shared" si="4"/>
        <v>-8.816266667</v>
      </c>
      <c r="L105" s="150">
        <f t="shared" si="5"/>
        <v>0.355942381</v>
      </c>
      <c r="M105" s="150">
        <f t="shared" si="6"/>
        <v>0.45</v>
      </c>
    </row>
    <row r="106" ht="22.5" customHeight="1">
      <c r="A106" s="149">
        <v>105.0</v>
      </c>
      <c r="B106" s="150">
        <f t="shared" ref="B106:C106" si="113">B105+D106</f>
        <v>982.78</v>
      </c>
      <c r="C106" s="150">
        <f t="shared" si="113"/>
        <v>16.40820561</v>
      </c>
      <c r="D106" s="150">
        <f>IFERROR(__xludf.DUMMYFUNCTION("""COMPUTED_VALUE"""),-213.5)</f>
        <v>-213.5</v>
      </c>
      <c r="E106" s="150">
        <f>IFERROR(__xludf.DUMMYFUNCTION("""COMPUTED_VALUE"""),-1.0166666666666666)</f>
        <v>-1.016666667</v>
      </c>
      <c r="F106" s="150">
        <f t="shared" si="8"/>
        <v>21.38311037</v>
      </c>
      <c r="G106" s="150">
        <f t="shared" si="9"/>
        <v>-4.974904762</v>
      </c>
      <c r="H106" s="150">
        <f t="shared" si="3"/>
        <v>-8.816266667</v>
      </c>
      <c r="I106" s="150">
        <f t="shared" si="10"/>
        <v>3</v>
      </c>
      <c r="J106" s="150">
        <f t="shared" si="11"/>
        <v>-2.994</v>
      </c>
      <c r="K106" s="151">
        <f t="shared" si="4"/>
        <v>-8.816266667</v>
      </c>
      <c r="L106" s="150">
        <f t="shared" si="5"/>
        <v>0.3522590476</v>
      </c>
      <c r="M106" s="150">
        <f t="shared" si="6"/>
        <v>0.45</v>
      </c>
    </row>
    <row r="107" ht="22.5" customHeight="1">
      <c r="A107" s="149">
        <v>106.0</v>
      </c>
      <c r="B107" s="150">
        <f t="shared" ref="B107:C107" si="114">B106+D107</f>
        <v>779.08</v>
      </c>
      <c r="C107" s="150">
        <f t="shared" si="114"/>
        <v>15.43820561</v>
      </c>
      <c r="D107" s="150">
        <f>IFERROR(__xludf.DUMMYFUNCTION("""COMPUTED_VALUE"""),-203.7)</f>
        <v>-203.7</v>
      </c>
      <c r="E107" s="150">
        <f>IFERROR(__xludf.DUMMYFUNCTION("""COMPUTED_VALUE"""),-0.97)</f>
        <v>-0.97</v>
      </c>
      <c r="F107" s="150">
        <f t="shared" si="8"/>
        <v>21.38311037</v>
      </c>
      <c r="G107" s="150">
        <f t="shared" si="9"/>
        <v>-5.944904762</v>
      </c>
      <c r="H107" s="150">
        <f t="shared" si="3"/>
        <v>-8.816266667</v>
      </c>
      <c r="I107" s="150">
        <f t="shared" si="10"/>
        <v>4</v>
      </c>
      <c r="J107" s="150">
        <f t="shared" si="11"/>
        <v>-3.964</v>
      </c>
      <c r="K107" s="151">
        <f t="shared" si="4"/>
        <v>-8.816266667</v>
      </c>
      <c r="L107" s="150">
        <f t="shared" si="5"/>
        <v>0.4128590476</v>
      </c>
      <c r="M107" s="150">
        <f t="shared" si="6"/>
        <v>0.45</v>
      </c>
    </row>
    <row r="108" ht="22.5" customHeight="1">
      <c r="A108" s="149">
        <v>107.0</v>
      </c>
      <c r="B108" s="150">
        <f t="shared" ref="B108:C108" si="115">B107+D108</f>
        <v>1359.08</v>
      </c>
      <c r="C108" s="150">
        <f t="shared" si="115"/>
        <v>18.20011037</v>
      </c>
      <c r="D108" s="150">
        <f>IFERROR(__xludf.DUMMYFUNCTION("""COMPUTED_VALUE"""),580.0)</f>
        <v>580</v>
      </c>
      <c r="E108" s="150">
        <f>IFERROR(__xludf.DUMMYFUNCTION("""COMPUTED_VALUE"""),2.761904761904762)</f>
        <v>2.761904762</v>
      </c>
      <c r="F108" s="150">
        <f t="shared" si="8"/>
        <v>21.38311037</v>
      </c>
      <c r="G108" s="150">
        <f t="shared" si="9"/>
        <v>-3.183</v>
      </c>
      <c r="H108" s="150">
        <f t="shared" si="3"/>
        <v>-8.816266667</v>
      </c>
      <c r="I108" s="150">
        <f t="shared" si="10"/>
        <v>0</v>
      </c>
      <c r="J108" s="150">
        <f t="shared" si="11"/>
        <v>0</v>
      </c>
      <c r="K108" s="151">
        <f t="shared" si="4"/>
        <v>-8.816266667</v>
      </c>
      <c r="L108" s="150">
        <f t="shared" si="5"/>
        <v>0.6381757143</v>
      </c>
      <c r="M108" s="150">
        <f t="shared" si="6"/>
        <v>0.5</v>
      </c>
    </row>
    <row r="109" ht="22.5" customHeight="1">
      <c r="A109" s="149">
        <v>108.0</v>
      </c>
      <c r="B109" s="150">
        <f t="shared" ref="B109:C109" si="116">B108+D109</f>
        <v>2317.08</v>
      </c>
      <c r="C109" s="150">
        <f t="shared" si="116"/>
        <v>22.76201513</v>
      </c>
      <c r="D109" s="150">
        <f>IFERROR(__xludf.DUMMYFUNCTION("""COMPUTED_VALUE"""),958.0)</f>
        <v>958</v>
      </c>
      <c r="E109" s="150">
        <f>IFERROR(__xludf.DUMMYFUNCTION("""COMPUTED_VALUE"""),4.561904761904762)</f>
        <v>4.561904762</v>
      </c>
      <c r="F109" s="150">
        <f t="shared" si="8"/>
        <v>22.76201513</v>
      </c>
      <c r="G109" s="150">
        <f t="shared" si="9"/>
        <v>0</v>
      </c>
      <c r="H109" s="150">
        <f t="shared" si="3"/>
        <v>-8.816266667</v>
      </c>
      <c r="I109" s="150">
        <f t="shared" si="10"/>
        <v>0</v>
      </c>
      <c r="J109" s="150">
        <f t="shared" si="11"/>
        <v>0</v>
      </c>
      <c r="K109" s="151">
        <f t="shared" si="4"/>
        <v>-8.816266667</v>
      </c>
      <c r="L109" s="150">
        <f t="shared" si="5"/>
        <v>0.6329383405</v>
      </c>
      <c r="M109" s="150">
        <f t="shared" si="6"/>
        <v>0.55</v>
      </c>
    </row>
    <row r="110" ht="22.5" customHeight="1">
      <c r="A110" s="149">
        <v>109.0</v>
      </c>
      <c r="B110" s="150">
        <f t="shared" ref="B110:C110" si="117">B109+D110</f>
        <v>2085.38</v>
      </c>
      <c r="C110" s="150">
        <f t="shared" si="117"/>
        <v>21.6586818</v>
      </c>
      <c r="D110" s="150">
        <f>IFERROR(__xludf.DUMMYFUNCTION("""COMPUTED_VALUE"""),-231.7)</f>
        <v>-231.7</v>
      </c>
      <c r="E110" s="150">
        <f>IFERROR(__xludf.DUMMYFUNCTION("""COMPUTED_VALUE"""),-1.1033333333333333)</f>
        <v>-1.103333333</v>
      </c>
      <c r="F110" s="150">
        <f t="shared" si="8"/>
        <v>22.76201513</v>
      </c>
      <c r="G110" s="150">
        <f t="shared" si="9"/>
        <v>-1.103333333</v>
      </c>
      <c r="H110" s="150">
        <f t="shared" si="3"/>
        <v>-8.816266667</v>
      </c>
      <c r="I110" s="150">
        <f t="shared" si="10"/>
        <v>1</v>
      </c>
      <c r="J110" s="150">
        <f t="shared" si="11"/>
        <v>-1.103333333</v>
      </c>
      <c r="K110" s="151">
        <f t="shared" si="4"/>
        <v>-8.816266667</v>
      </c>
      <c r="L110" s="150">
        <f t="shared" si="5"/>
        <v>0.4948431025</v>
      </c>
      <c r="M110" s="150">
        <f t="shared" si="6"/>
        <v>0.5</v>
      </c>
    </row>
    <row r="111" ht="22.5" customHeight="1">
      <c r="A111" s="149">
        <v>110.0</v>
      </c>
      <c r="B111" s="150">
        <f t="shared" ref="B111:C111" si="118">B110+D111</f>
        <v>2105.38</v>
      </c>
      <c r="C111" s="150">
        <f t="shared" si="118"/>
        <v>21.7539199</v>
      </c>
      <c r="D111" s="150">
        <f>IFERROR(__xludf.DUMMYFUNCTION("""COMPUTED_VALUE"""),20.0)</f>
        <v>20</v>
      </c>
      <c r="E111" s="150">
        <f>IFERROR(__xludf.DUMMYFUNCTION("""COMPUTED_VALUE"""),0.09523809523809523)</f>
        <v>0.09523809524</v>
      </c>
      <c r="F111" s="150">
        <f t="shared" si="8"/>
        <v>22.76201513</v>
      </c>
      <c r="G111" s="150">
        <f t="shared" si="9"/>
        <v>-1.008095238</v>
      </c>
      <c r="H111" s="150">
        <f t="shared" si="3"/>
        <v>-8.816266667</v>
      </c>
      <c r="I111" s="150">
        <f t="shared" si="10"/>
        <v>0</v>
      </c>
      <c r="J111" s="150">
        <f t="shared" si="11"/>
        <v>0</v>
      </c>
      <c r="K111" s="151">
        <f t="shared" si="4"/>
        <v>-8.816266667</v>
      </c>
      <c r="L111" s="150">
        <f t="shared" si="5"/>
        <v>0.2096478644</v>
      </c>
      <c r="M111" s="150">
        <f t="shared" si="6"/>
        <v>0.5</v>
      </c>
    </row>
    <row r="112" ht="22.5" customHeight="1">
      <c r="A112" s="149">
        <v>111.0</v>
      </c>
      <c r="B112" s="150">
        <f t="shared" ref="B112:C112" si="119">B111+D112</f>
        <v>1859.68</v>
      </c>
      <c r="C112" s="150">
        <f t="shared" si="119"/>
        <v>20.5839199</v>
      </c>
      <c r="D112" s="150">
        <f>IFERROR(__xludf.DUMMYFUNCTION("""COMPUTED_VALUE"""),-245.7)</f>
        <v>-245.7</v>
      </c>
      <c r="E112" s="150">
        <f>IFERROR(__xludf.DUMMYFUNCTION("""COMPUTED_VALUE"""),-1.17)</f>
        <v>-1.17</v>
      </c>
      <c r="F112" s="150">
        <f t="shared" si="8"/>
        <v>22.76201513</v>
      </c>
      <c r="G112" s="150">
        <f t="shared" si="9"/>
        <v>-2.178095238</v>
      </c>
      <c r="H112" s="150">
        <f t="shared" si="3"/>
        <v>-8.816266667</v>
      </c>
      <c r="I112" s="150">
        <f t="shared" si="10"/>
        <v>1</v>
      </c>
      <c r="J112" s="150">
        <f t="shared" si="11"/>
        <v>-1.17</v>
      </c>
      <c r="K112" s="151">
        <f t="shared" si="4"/>
        <v>-8.816266667</v>
      </c>
      <c r="L112" s="150">
        <f t="shared" si="5"/>
        <v>0.264814531</v>
      </c>
      <c r="M112" s="150">
        <f t="shared" si="6"/>
        <v>0.5</v>
      </c>
    </row>
    <row r="113" ht="22.5" customHeight="1">
      <c r="A113" s="149">
        <v>112.0</v>
      </c>
      <c r="B113" s="150">
        <f t="shared" ref="B113:C113" si="120">B112+D113</f>
        <v>1859.68</v>
      </c>
      <c r="C113" s="150">
        <f t="shared" si="120"/>
        <v>20.5839199</v>
      </c>
      <c r="D113" s="150">
        <f>IFERROR(__xludf.DUMMYFUNCTION("""COMPUTED_VALUE"""),0.0)</f>
        <v>0</v>
      </c>
      <c r="E113" s="150">
        <f>IFERROR(__xludf.DUMMYFUNCTION("""COMPUTED_VALUE"""),0.0)</f>
        <v>0</v>
      </c>
      <c r="F113" s="150">
        <f t="shared" si="8"/>
        <v>22.76201513</v>
      </c>
      <c r="G113" s="150">
        <f t="shared" si="9"/>
        <v>-2.178095238</v>
      </c>
      <c r="H113" s="150">
        <f t="shared" si="3"/>
        <v>-8.816266667</v>
      </c>
      <c r="I113" s="150">
        <f t="shared" si="10"/>
        <v>0</v>
      </c>
      <c r="J113" s="150">
        <f t="shared" si="11"/>
        <v>0</v>
      </c>
      <c r="K113" s="151">
        <f t="shared" si="4"/>
        <v>-8.816266667</v>
      </c>
      <c r="L113" s="150">
        <f t="shared" si="5"/>
        <v>0.2037859596</v>
      </c>
      <c r="M113" s="150">
        <f t="shared" si="6"/>
        <v>0.4736842105</v>
      </c>
    </row>
    <row r="114" ht="22.5" customHeight="1">
      <c r="A114" s="149">
        <v>113.0</v>
      </c>
      <c r="B114" s="150">
        <f t="shared" ref="B114:C114" si="121">B113+D114</f>
        <v>2453.14</v>
      </c>
      <c r="C114" s="150">
        <f t="shared" si="121"/>
        <v>23.4099199</v>
      </c>
      <c r="D114" s="150">
        <f>IFERROR(__xludf.DUMMYFUNCTION("""COMPUTED_VALUE"""),593.46)</f>
        <v>593.46</v>
      </c>
      <c r="E114" s="150">
        <f>IFERROR(__xludf.DUMMYFUNCTION("""COMPUTED_VALUE"""),2.826)</f>
        <v>2.826</v>
      </c>
      <c r="F114" s="150">
        <f t="shared" si="8"/>
        <v>23.4099199</v>
      </c>
      <c r="G114" s="150">
        <f t="shared" si="9"/>
        <v>0</v>
      </c>
      <c r="H114" s="150">
        <f t="shared" si="3"/>
        <v>-8.816266667</v>
      </c>
      <c r="I114" s="150">
        <f t="shared" si="10"/>
        <v>0</v>
      </c>
      <c r="J114" s="150">
        <f t="shared" si="11"/>
        <v>0</v>
      </c>
      <c r="K114" s="151">
        <f t="shared" si="4"/>
        <v>-8.816266667</v>
      </c>
      <c r="L114" s="150">
        <f t="shared" si="5"/>
        <v>0.2268526263</v>
      </c>
      <c r="M114" s="150">
        <f t="shared" si="6"/>
        <v>0.4736842105</v>
      </c>
    </row>
    <row r="115" ht="22.5" customHeight="1">
      <c r="A115" s="149">
        <v>114.0</v>
      </c>
      <c r="B115" s="150">
        <f t="shared" ref="B115:C115" si="122">B114+D115</f>
        <v>3032.6</v>
      </c>
      <c r="C115" s="150">
        <f t="shared" si="122"/>
        <v>26.16925323</v>
      </c>
      <c r="D115" s="150">
        <f>IFERROR(__xludf.DUMMYFUNCTION("""COMPUTED_VALUE"""),579.46)</f>
        <v>579.46</v>
      </c>
      <c r="E115" s="150">
        <f>IFERROR(__xludf.DUMMYFUNCTION("""COMPUTED_VALUE"""),2.7593333333333336)</f>
        <v>2.759333333</v>
      </c>
      <c r="F115" s="150">
        <f t="shared" si="8"/>
        <v>26.16925323</v>
      </c>
      <c r="G115" s="150">
        <f t="shared" si="9"/>
        <v>0</v>
      </c>
      <c r="H115" s="150">
        <f t="shared" si="3"/>
        <v>-8.816266667</v>
      </c>
      <c r="I115" s="150">
        <f t="shared" si="10"/>
        <v>0</v>
      </c>
      <c r="J115" s="150">
        <f t="shared" si="11"/>
        <v>0</v>
      </c>
      <c r="K115" s="151">
        <f t="shared" si="4"/>
        <v>-8.816266667</v>
      </c>
      <c r="L115" s="150">
        <f t="shared" si="5"/>
        <v>0.1630859596</v>
      </c>
      <c r="M115" s="150">
        <f t="shared" si="6"/>
        <v>0.4736842105</v>
      </c>
    </row>
    <row r="116" ht="22.5" customHeight="1">
      <c r="A116" s="149">
        <v>115.0</v>
      </c>
      <c r="B116" s="150">
        <f t="shared" ref="B116:C116" si="123">B115+D116</f>
        <v>2793.06</v>
      </c>
      <c r="C116" s="150">
        <f t="shared" si="123"/>
        <v>25.02858656</v>
      </c>
      <c r="D116" s="150">
        <f>IFERROR(__xludf.DUMMYFUNCTION("""COMPUTED_VALUE"""),-239.54)</f>
        <v>-239.54</v>
      </c>
      <c r="E116" s="150">
        <f>IFERROR(__xludf.DUMMYFUNCTION("""COMPUTED_VALUE"""),-1.1406666666666667)</f>
        <v>-1.140666667</v>
      </c>
      <c r="F116" s="150">
        <f t="shared" si="8"/>
        <v>26.16925323</v>
      </c>
      <c r="G116" s="150">
        <f t="shared" si="9"/>
        <v>-1.140666667</v>
      </c>
      <c r="H116" s="150">
        <f t="shared" si="3"/>
        <v>-8.816266667</v>
      </c>
      <c r="I116" s="150">
        <f t="shared" si="10"/>
        <v>1</v>
      </c>
      <c r="J116" s="150">
        <f t="shared" si="11"/>
        <v>-1.140666667</v>
      </c>
      <c r="K116" s="151">
        <f t="shared" si="4"/>
        <v>-8.816266667</v>
      </c>
      <c r="L116" s="150">
        <f t="shared" si="5"/>
        <v>0.1013526263</v>
      </c>
      <c r="M116" s="150">
        <f t="shared" si="6"/>
        <v>0.4210526316</v>
      </c>
    </row>
    <row r="117" ht="22.5" customHeight="1">
      <c r="A117" s="149">
        <v>116.0</v>
      </c>
      <c r="B117" s="150">
        <f t="shared" ref="B117:C117" si="124">B116+D117</f>
        <v>3370.98</v>
      </c>
      <c r="C117" s="150">
        <f t="shared" si="124"/>
        <v>27.78058656</v>
      </c>
      <c r="D117" s="150">
        <f>IFERROR(__xludf.DUMMYFUNCTION("""COMPUTED_VALUE"""),577.92)</f>
        <v>577.92</v>
      </c>
      <c r="E117" s="150">
        <f>IFERROR(__xludf.DUMMYFUNCTION("""COMPUTED_VALUE"""),2.752)</f>
        <v>2.752</v>
      </c>
      <c r="F117" s="150">
        <f t="shared" si="8"/>
        <v>27.78058656</v>
      </c>
      <c r="G117" s="150">
        <f t="shared" si="9"/>
        <v>0</v>
      </c>
      <c r="H117" s="150">
        <f t="shared" si="3"/>
        <v>-8.816266667</v>
      </c>
      <c r="I117" s="150">
        <f t="shared" si="10"/>
        <v>0</v>
      </c>
      <c r="J117" s="150">
        <f t="shared" si="11"/>
        <v>0</v>
      </c>
      <c r="K117" s="151">
        <f t="shared" si="4"/>
        <v>-8.816266667</v>
      </c>
      <c r="L117" s="150">
        <f t="shared" si="5"/>
        <v>-0.04954333333</v>
      </c>
      <c r="M117" s="150">
        <f t="shared" si="6"/>
        <v>0.4210526316</v>
      </c>
    </row>
    <row r="118" ht="22.5" customHeight="1">
      <c r="A118" s="149">
        <v>117.0</v>
      </c>
      <c r="B118" s="150">
        <f t="shared" ref="B118:C118" si="125">B117+D118</f>
        <v>3159.44</v>
      </c>
      <c r="C118" s="150">
        <f t="shared" si="125"/>
        <v>26.77325323</v>
      </c>
      <c r="D118" s="150">
        <f>IFERROR(__xludf.DUMMYFUNCTION("""COMPUTED_VALUE"""),-211.54)</f>
        <v>-211.54</v>
      </c>
      <c r="E118" s="150">
        <f>IFERROR(__xludf.DUMMYFUNCTION("""COMPUTED_VALUE"""),-1.0073333333333332)</f>
        <v>-1.007333333</v>
      </c>
      <c r="F118" s="150">
        <f t="shared" si="8"/>
        <v>27.78058656</v>
      </c>
      <c r="G118" s="150">
        <f t="shared" si="9"/>
        <v>-1.007333333</v>
      </c>
      <c r="H118" s="150">
        <f t="shared" si="3"/>
        <v>-8.816266667</v>
      </c>
      <c r="I118" s="150">
        <f t="shared" si="10"/>
        <v>1</v>
      </c>
      <c r="J118" s="150">
        <f t="shared" si="11"/>
        <v>-1.007333333</v>
      </c>
      <c r="K118" s="151">
        <f t="shared" si="4"/>
        <v>-8.816266667</v>
      </c>
      <c r="L118" s="150">
        <f t="shared" si="5"/>
        <v>0.07189</v>
      </c>
      <c r="M118" s="150">
        <f t="shared" si="6"/>
        <v>0.4210526316</v>
      </c>
    </row>
    <row r="119" ht="22.5" customHeight="1">
      <c r="A119" s="149">
        <v>118.0</v>
      </c>
      <c r="B119" s="150">
        <f t="shared" ref="B119:C119" si="126">B118+D119</f>
        <v>3711.74</v>
      </c>
      <c r="C119" s="150">
        <f t="shared" si="126"/>
        <v>29.40325323</v>
      </c>
      <c r="D119" s="150">
        <f>IFERROR(__xludf.DUMMYFUNCTION("""COMPUTED_VALUE"""),552.3)</f>
        <v>552.3</v>
      </c>
      <c r="E119" s="150">
        <f>IFERROR(__xludf.DUMMYFUNCTION("""COMPUTED_VALUE"""),2.63)</f>
        <v>2.63</v>
      </c>
      <c r="F119" s="150">
        <f t="shared" si="8"/>
        <v>29.40325323</v>
      </c>
      <c r="G119" s="150">
        <f t="shared" si="9"/>
        <v>0</v>
      </c>
      <c r="H119" s="150">
        <f t="shared" si="3"/>
        <v>-8.816266667</v>
      </c>
      <c r="I119" s="150">
        <f t="shared" si="10"/>
        <v>0</v>
      </c>
      <c r="J119" s="150">
        <f t="shared" si="11"/>
        <v>0</v>
      </c>
      <c r="K119" s="151">
        <f t="shared" si="4"/>
        <v>-8.816266667</v>
      </c>
      <c r="L119" s="150">
        <f t="shared" si="5"/>
        <v>-0.11971</v>
      </c>
      <c r="M119" s="150">
        <f t="shared" si="6"/>
        <v>0.4736842105</v>
      </c>
    </row>
    <row r="120" ht="22.5" customHeight="1">
      <c r="A120" s="149">
        <v>119.0</v>
      </c>
      <c r="B120" s="150">
        <f t="shared" ref="B120:C120" si="127">B119+D120</f>
        <v>3493.2</v>
      </c>
      <c r="C120" s="150">
        <f t="shared" si="127"/>
        <v>28.36258656</v>
      </c>
      <c r="D120" s="150">
        <f>IFERROR(__xludf.DUMMYFUNCTION("""COMPUTED_VALUE"""),-218.54)</f>
        <v>-218.54</v>
      </c>
      <c r="E120" s="150">
        <f>IFERROR(__xludf.DUMMYFUNCTION("""COMPUTED_VALUE"""),-1.0406666666666666)</f>
        <v>-1.040666667</v>
      </c>
      <c r="F120" s="150">
        <f t="shared" si="8"/>
        <v>29.40325323</v>
      </c>
      <c r="G120" s="150">
        <f t="shared" si="9"/>
        <v>-1.040666667</v>
      </c>
      <c r="H120" s="150">
        <f t="shared" si="3"/>
        <v>-8.816266667</v>
      </c>
      <c r="I120" s="150">
        <f t="shared" si="10"/>
        <v>1</v>
      </c>
      <c r="J120" s="150">
        <f t="shared" si="11"/>
        <v>-1.040666667</v>
      </c>
      <c r="K120" s="151">
        <f t="shared" si="4"/>
        <v>-8.816266667</v>
      </c>
      <c r="L120" s="150">
        <f t="shared" si="5"/>
        <v>-0.1264140404</v>
      </c>
      <c r="M120" s="150">
        <f t="shared" si="6"/>
        <v>0.4736842105</v>
      </c>
    </row>
    <row r="121" ht="22.5" customHeight="1">
      <c r="A121" s="149">
        <v>120.0</v>
      </c>
      <c r="B121" s="150">
        <f t="shared" ref="B121:C121" si="128">B120+D121</f>
        <v>3250.1</v>
      </c>
      <c r="C121" s="150">
        <f t="shared" si="128"/>
        <v>27.55225323</v>
      </c>
      <c r="D121" s="150">
        <f>IFERROR(__xludf.DUMMYFUNCTION("""COMPUTED_VALUE"""),-243.1)</f>
        <v>-243.1</v>
      </c>
      <c r="E121" s="150">
        <f>IFERROR(__xludf.DUMMYFUNCTION("""COMPUTED_VALUE"""),-0.8103333333333333)</f>
        <v>-0.8103333333</v>
      </c>
      <c r="F121" s="150">
        <f t="shared" si="8"/>
        <v>29.40325323</v>
      </c>
      <c r="G121" s="150">
        <f t="shared" si="9"/>
        <v>-1.851</v>
      </c>
      <c r="H121" s="150">
        <f t="shared" si="3"/>
        <v>-8.816266667</v>
      </c>
      <c r="I121" s="150">
        <f t="shared" si="10"/>
        <v>2</v>
      </c>
      <c r="J121" s="150">
        <f t="shared" si="11"/>
        <v>-1.851</v>
      </c>
      <c r="K121" s="151">
        <f t="shared" si="4"/>
        <v>-8.816266667</v>
      </c>
      <c r="L121" s="150">
        <f t="shared" si="5"/>
        <v>-0.3105140404</v>
      </c>
      <c r="M121" s="150">
        <f t="shared" si="6"/>
        <v>0.4210526316</v>
      </c>
    </row>
    <row r="122" ht="22.5" customHeight="1">
      <c r="A122" s="149">
        <v>121.0</v>
      </c>
      <c r="B122" s="150">
        <f t="shared" ref="B122:C122" si="129">B121+D122</f>
        <v>3250.1</v>
      </c>
      <c r="C122" s="150">
        <f t="shared" si="129"/>
        <v>27.55225323</v>
      </c>
      <c r="D122" s="150">
        <f>IFERROR(__xludf.DUMMYFUNCTION("""COMPUTED_VALUE"""),0.0)</f>
        <v>0</v>
      </c>
      <c r="E122" s="150">
        <f>IFERROR(__xludf.DUMMYFUNCTION("""COMPUTED_VALUE"""),0.0)</f>
        <v>0</v>
      </c>
      <c r="F122" s="150">
        <f t="shared" si="8"/>
        <v>29.40325323</v>
      </c>
      <c r="G122" s="150">
        <f t="shared" si="9"/>
        <v>-1.851</v>
      </c>
      <c r="H122" s="150">
        <f t="shared" si="3"/>
        <v>-8.816266667</v>
      </c>
      <c r="I122" s="150">
        <f t="shared" si="10"/>
        <v>0</v>
      </c>
      <c r="J122" s="150">
        <f t="shared" si="11"/>
        <v>0</v>
      </c>
      <c r="K122" s="151">
        <f t="shared" si="4"/>
        <v>-8.816266667</v>
      </c>
      <c r="L122" s="150">
        <f t="shared" si="5"/>
        <v>-0.1505807071</v>
      </c>
      <c r="M122" s="150">
        <f t="shared" si="6"/>
        <v>0.4444444444</v>
      </c>
    </row>
    <row r="123" ht="22.5" customHeight="1">
      <c r="A123" s="149">
        <v>122.0</v>
      </c>
      <c r="B123" s="150">
        <f t="shared" ref="B123:C123" si="130">B122+D123</f>
        <v>2940.74</v>
      </c>
      <c r="C123" s="150">
        <f t="shared" si="130"/>
        <v>26.52105323</v>
      </c>
      <c r="D123" s="150">
        <f>IFERROR(__xludf.DUMMYFUNCTION("""COMPUTED_VALUE"""),-309.36)</f>
        <v>-309.36</v>
      </c>
      <c r="E123" s="150">
        <f>IFERROR(__xludf.DUMMYFUNCTION("""COMPUTED_VALUE"""),-1.0312000000000001)</f>
        <v>-1.0312</v>
      </c>
      <c r="F123" s="150">
        <f t="shared" si="8"/>
        <v>29.40325323</v>
      </c>
      <c r="G123" s="150">
        <f t="shared" si="9"/>
        <v>-2.8822</v>
      </c>
      <c r="H123" s="150">
        <f t="shared" si="3"/>
        <v>-8.816266667</v>
      </c>
      <c r="I123" s="150">
        <f t="shared" si="10"/>
        <v>1</v>
      </c>
      <c r="J123" s="150">
        <f t="shared" si="11"/>
        <v>-1.0312</v>
      </c>
      <c r="K123" s="151">
        <f t="shared" si="4"/>
        <v>-8.816266667</v>
      </c>
      <c r="L123" s="150">
        <f t="shared" si="5"/>
        <v>-0.1640640404</v>
      </c>
      <c r="M123" s="150">
        <f t="shared" si="6"/>
        <v>0.3888888889</v>
      </c>
    </row>
    <row r="124" ht="22.5" customHeight="1">
      <c r="A124" s="149">
        <v>123.0</v>
      </c>
      <c r="B124" s="150">
        <f t="shared" ref="B124:C124" si="131">B123+D124</f>
        <v>2647.64</v>
      </c>
      <c r="C124" s="150">
        <f t="shared" si="131"/>
        <v>25.54405323</v>
      </c>
      <c r="D124" s="152">
        <f>IFERROR(__xludf.DUMMYFUNCTION("""COMPUTED_VALUE"""),-293.1)</f>
        <v>-293.1</v>
      </c>
      <c r="E124" s="152">
        <f>IFERROR(__xludf.DUMMYFUNCTION("""COMPUTED_VALUE"""),-0.9770000000000001)</f>
        <v>-0.977</v>
      </c>
      <c r="F124" s="150">
        <f t="shared" si="8"/>
        <v>29.40325323</v>
      </c>
      <c r="G124" s="150">
        <f t="shared" si="9"/>
        <v>-3.8592</v>
      </c>
      <c r="H124" s="150">
        <f t="shared" si="3"/>
        <v>-8.816266667</v>
      </c>
      <c r="I124" s="150">
        <f t="shared" si="10"/>
        <v>2</v>
      </c>
      <c r="J124" s="150">
        <f t="shared" si="11"/>
        <v>-2.0082</v>
      </c>
      <c r="K124" s="151">
        <f t="shared" si="4"/>
        <v>-8.816266667</v>
      </c>
      <c r="L124" s="150">
        <f t="shared" si="5"/>
        <v>-0.2228307071</v>
      </c>
      <c r="M124" s="150">
        <f t="shared" si="6"/>
        <v>0.3888888889</v>
      </c>
    </row>
    <row r="125" ht="22.5" customHeight="1">
      <c r="A125" s="149">
        <v>124.0</v>
      </c>
      <c r="B125" s="150">
        <f t="shared" ref="B125:C125" si="132">B124+D125</f>
        <v>2689.04</v>
      </c>
      <c r="C125" s="150">
        <f t="shared" si="132"/>
        <v>25.68205323</v>
      </c>
      <c r="D125" s="152">
        <f>IFERROR(__xludf.DUMMYFUNCTION("""COMPUTED_VALUE"""),41.4)</f>
        <v>41.4</v>
      </c>
      <c r="E125" s="152">
        <f>IFERROR(__xludf.DUMMYFUNCTION("""COMPUTED_VALUE"""),0.13799999999999998)</f>
        <v>0.138</v>
      </c>
      <c r="F125" s="150">
        <f t="shared" si="8"/>
        <v>29.40325323</v>
      </c>
      <c r="G125" s="150">
        <f t="shared" si="9"/>
        <v>-3.7212</v>
      </c>
      <c r="H125" s="150">
        <f t="shared" si="3"/>
        <v>-8.816266667</v>
      </c>
      <c r="I125" s="150">
        <f t="shared" si="10"/>
        <v>0</v>
      </c>
      <c r="J125" s="150">
        <f t="shared" si="11"/>
        <v>0</v>
      </c>
      <c r="K125" s="151">
        <f t="shared" si="4"/>
        <v>-8.816266667</v>
      </c>
      <c r="L125" s="150">
        <f t="shared" si="5"/>
        <v>-0.2258707071</v>
      </c>
      <c r="M125" s="150">
        <f t="shared" si="6"/>
        <v>0.4444444444</v>
      </c>
    </row>
    <row r="126" ht="22.5" customHeight="1">
      <c r="A126" s="149">
        <v>125.0</v>
      </c>
      <c r="B126" s="150">
        <f t="shared" ref="B126:C126" si="133">B125+D126</f>
        <v>3735.94</v>
      </c>
      <c r="C126" s="150">
        <f t="shared" si="133"/>
        <v>29.1717199</v>
      </c>
      <c r="D126" s="152">
        <f>IFERROR(__xludf.DUMMYFUNCTION("""COMPUTED_VALUE"""),1046.9)</f>
        <v>1046.9</v>
      </c>
      <c r="E126" s="152">
        <f>IFERROR(__xludf.DUMMYFUNCTION("""COMPUTED_VALUE"""),3.489666666666667)</f>
        <v>3.489666667</v>
      </c>
      <c r="F126" s="150">
        <f t="shared" si="8"/>
        <v>29.40325323</v>
      </c>
      <c r="G126" s="150">
        <f t="shared" si="9"/>
        <v>-0.2315333333</v>
      </c>
      <c r="H126" s="150">
        <f t="shared" si="3"/>
        <v>-8.816266667</v>
      </c>
      <c r="I126" s="150">
        <f t="shared" si="10"/>
        <v>0</v>
      </c>
      <c r="J126" s="150">
        <f t="shared" si="11"/>
        <v>0</v>
      </c>
      <c r="K126" s="151">
        <f t="shared" si="4"/>
        <v>-8.816266667</v>
      </c>
      <c r="L126" s="150">
        <f t="shared" si="5"/>
        <v>-0.09642070707</v>
      </c>
      <c r="M126" s="150">
        <f t="shared" si="6"/>
        <v>0.5</v>
      </c>
    </row>
    <row r="127" ht="22.5" customHeight="1">
      <c r="A127" s="149">
        <v>126.0</v>
      </c>
      <c r="B127" s="150">
        <f t="shared" ref="B127:C127" si="134">B126+D127</f>
        <v>2671.94</v>
      </c>
      <c r="C127" s="150">
        <f t="shared" si="134"/>
        <v>28.09697242</v>
      </c>
      <c r="D127" s="152">
        <f>IFERROR(__xludf.DUMMYFUNCTION("""COMPUTED_VALUE"""),-1064.0)</f>
        <v>-1064</v>
      </c>
      <c r="E127" s="152">
        <f>IFERROR(__xludf.DUMMYFUNCTION("""COMPUTED_VALUE"""),-1.0747474747474748)</f>
        <v>-1.074747475</v>
      </c>
      <c r="F127" s="150">
        <f t="shared" si="8"/>
        <v>29.40325323</v>
      </c>
      <c r="G127" s="150">
        <f t="shared" si="9"/>
        <v>-1.306280808</v>
      </c>
      <c r="H127" s="150">
        <f t="shared" si="3"/>
        <v>-8.816266667</v>
      </c>
      <c r="I127" s="150">
        <f t="shared" si="10"/>
        <v>1</v>
      </c>
      <c r="J127" s="150">
        <f t="shared" si="11"/>
        <v>-1.074747475</v>
      </c>
      <c r="K127" s="151">
        <f t="shared" si="4"/>
        <v>-8.816266667</v>
      </c>
      <c r="L127" s="150">
        <f t="shared" si="5"/>
        <v>-0.07632070707</v>
      </c>
      <c r="M127" s="150">
        <f t="shared" si="6"/>
        <v>0.5</v>
      </c>
    </row>
    <row r="128" ht="22.5" customHeight="1">
      <c r="A128" s="149">
        <v>127.0</v>
      </c>
      <c r="B128" s="150">
        <f t="shared" ref="B128:C128" si="135">B127+D128</f>
        <v>2671.94</v>
      </c>
      <c r="C128" s="150">
        <f t="shared" si="135"/>
        <v>28.09697242</v>
      </c>
      <c r="D128" s="152">
        <f>IFERROR(__xludf.DUMMYFUNCTION("""COMPUTED_VALUE"""),0.0)</f>
        <v>0</v>
      </c>
      <c r="E128" s="152">
        <f>IFERROR(__xludf.DUMMYFUNCTION("""COMPUTED_VALUE"""),0.0)</f>
        <v>0</v>
      </c>
      <c r="F128" s="150">
        <f t="shared" si="8"/>
        <v>29.40325323</v>
      </c>
      <c r="G128" s="150">
        <f t="shared" si="9"/>
        <v>-1.306280808</v>
      </c>
      <c r="H128" s="150">
        <f t="shared" si="3"/>
        <v>-8.816266667</v>
      </c>
      <c r="I128" s="150">
        <f t="shared" si="10"/>
        <v>0</v>
      </c>
      <c r="J128" s="150">
        <f t="shared" si="11"/>
        <v>0</v>
      </c>
      <c r="K128" s="151">
        <f t="shared" si="4"/>
        <v>-8.816266667</v>
      </c>
      <c r="L128" s="150">
        <f t="shared" si="5"/>
        <v>-0.2640042531</v>
      </c>
      <c r="M128" s="150">
        <f t="shared" si="6"/>
        <v>0.4705882353</v>
      </c>
    </row>
    <row r="129" ht="22.5" customHeight="1">
      <c r="A129" s="149">
        <v>128.0</v>
      </c>
      <c r="B129" s="150">
        <f t="shared" ref="B129:C129" si="136">B128+D129</f>
        <v>1541.36</v>
      </c>
      <c r="C129" s="150">
        <f t="shared" si="136"/>
        <v>26.95497242</v>
      </c>
      <c r="D129" s="152">
        <f>IFERROR(__xludf.DUMMYFUNCTION("""COMPUTED_VALUE"""),-1130.58)</f>
        <v>-1130.58</v>
      </c>
      <c r="E129" s="152">
        <f>IFERROR(__xludf.DUMMYFUNCTION("""COMPUTED_VALUE"""),-1.142)</f>
        <v>-1.142</v>
      </c>
      <c r="F129" s="150">
        <f t="shared" si="8"/>
        <v>29.40325323</v>
      </c>
      <c r="G129" s="150">
        <f t="shared" si="9"/>
        <v>-2.448280808</v>
      </c>
      <c r="H129" s="150">
        <f t="shared" si="3"/>
        <v>-8.816266667</v>
      </c>
      <c r="I129" s="150">
        <f t="shared" si="10"/>
        <v>1</v>
      </c>
      <c r="J129" s="150">
        <f t="shared" si="11"/>
        <v>-1.142</v>
      </c>
      <c r="K129" s="151">
        <f t="shared" si="4"/>
        <v>-8.816266667</v>
      </c>
      <c r="L129" s="150">
        <f t="shared" si="5"/>
        <v>-0.218962963</v>
      </c>
      <c r="M129" s="150">
        <f t="shared" si="6"/>
        <v>0.4117647059</v>
      </c>
    </row>
    <row r="130" ht="22.5" customHeight="1">
      <c r="A130" s="149">
        <v>129.0</v>
      </c>
      <c r="B130" s="150">
        <f t="shared" ref="B130:C130" si="137">B129+D130</f>
        <v>1541.36</v>
      </c>
      <c r="C130" s="150">
        <f t="shared" si="137"/>
        <v>26.95497242</v>
      </c>
      <c r="D130" s="152">
        <f>IFERROR(__xludf.DUMMYFUNCTION("""COMPUTED_VALUE"""),0.0)</f>
        <v>0</v>
      </c>
      <c r="E130" s="152">
        <f>IFERROR(__xludf.DUMMYFUNCTION("""COMPUTED_VALUE"""),0.0)</f>
        <v>0</v>
      </c>
      <c r="F130" s="150">
        <f t="shared" si="8"/>
        <v>29.40325323</v>
      </c>
      <c r="G130" s="150">
        <f t="shared" si="9"/>
        <v>-2.448280808</v>
      </c>
      <c r="H130" s="150">
        <f t="shared" si="3"/>
        <v>-8.816266667</v>
      </c>
      <c r="I130" s="150">
        <f t="shared" si="10"/>
        <v>0</v>
      </c>
      <c r="J130" s="150">
        <f t="shared" si="11"/>
        <v>0</v>
      </c>
      <c r="K130" s="151">
        <f t="shared" si="4"/>
        <v>-8.816266667</v>
      </c>
      <c r="L130" s="150">
        <f t="shared" si="5"/>
        <v>-0.2318431373</v>
      </c>
      <c r="M130" s="150">
        <f t="shared" si="6"/>
        <v>0.4375</v>
      </c>
    </row>
    <row r="131" ht="22.5" customHeight="1">
      <c r="A131" s="149">
        <v>130.0</v>
      </c>
      <c r="B131" s="150">
        <f t="shared" ref="B131:C131" si="138">B130+D131</f>
        <v>427.28</v>
      </c>
      <c r="C131" s="150">
        <f t="shared" si="138"/>
        <v>25.82963909</v>
      </c>
      <c r="D131" s="152">
        <f>IFERROR(__xludf.DUMMYFUNCTION("""COMPUTED_VALUE"""),-1114.08)</f>
        <v>-1114.08</v>
      </c>
      <c r="E131" s="152">
        <f>IFERROR(__xludf.DUMMYFUNCTION("""COMPUTED_VALUE"""),-1.1253333333333333)</f>
        <v>-1.125333333</v>
      </c>
      <c r="F131" s="150">
        <f t="shared" si="8"/>
        <v>29.40325323</v>
      </c>
      <c r="G131" s="150">
        <f t="shared" si="9"/>
        <v>-3.573614141</v>
      </c>
      <c r="H131" s="150">
        <f t="shared" si="3"/>
        <v>-8.816266667</v>
      </c>
      <c r="I131" s="150">
        <f t="shared" si="10"/>
        <v>1</v>
      </c>
      <c r="J131" s="150">
        <f t="shared" si="11"/>
        <v>-1.125333333</v>
      </c>
      <c r="K131" s="151">
        <f t="shared" si="4"/>
        <v>-8.816266667</v>
      </c>
      <c r="L131" s="150">
        <f t="shared" si="5"/>
        <v>-0.1749583333</v>
      </c>
      <c r="M131" s="150">
        <f t="shared" si="6"/>
        <v>0.375</v>
      </c>
    </row>
    <row r="132" ht="22.5" customHeight="1">
      <c r="A132" s="149">
        <v>131.0</v>
      </c>
      <c r="B132" s="150">
        <f t="shared" ref="B132:C132" si="139">B131+D132</f>
        <v>-274.3</v>
      </c>
      <c r="C132" s="150">
        <f t="shared" si="139"/>
        <v>25.12097242</v>
      </c>
      <c r="D132" s="152">
        <f>IFERROR(__xludf.DUMMYFUNCTION("""COMPUTED_VALUE"""),-701.58)</f>
        <v>-701.58</v>
      </c>
      <c r="E132" s="152">
        <f>IFERROR(__xludf.DUMMYFUNCTION("""COMPUTED_VALUE"""),-0.7086666666666667)</f>
        <v>-0.7086666667</v>
      </c>
      <c r="F132" s="150">
        <f t="shared" si="8"/>
        <v>29.40325323</v>
      </c>
      <c r="G132" s="150">
        <f t="shared" si="9"/>
        <v>-4.282280808</v>
      </c>
      <c r="H132" s="150">
        <f t="shared" si="3"/>
        <v>-8.816266667</v>
      </c>
      <c r="I132" s="150">
        <f t="shared" si="10"/>
        <v>2</v>
      </c>
      <c r="J132" s="150">
        <f t="shared" si="11"/>
        <v>-1.834</v>
      </c>
      <c r="K132" s="151">
        <f t="shared" si="4"/>
        <v>-8.816266667</v>
      </c>
      <c r="L132" s="150">
        <f t="shared" si="5"/>
        <v>-0.1866222222</v>
      </c>
      <c r="M132" s="150">
        <f t="shared" si="6"/>
        <v>0.375</v>
      </c>
    </row>
    <row r="133" ht="22.5" customHeight="1">
      <c r="A133" s="149">
        <v>132.0</v>
      </c>
      <c r="B133" s="152">
        <f t="shared" ref="B133:C133" si="140">B132+D133</f>
        <v>-1536.88</v>
      </c>
      <c r="C133" s="150">
        <f t="shared" si="140"/>
        <v>23.84563909</v>
      </c>
      <c r="D133" s="152">
        <f>IFERROR(__xludf.DUMMYFUNCTION("""COMPUTED_VALUE"""),-1262.58)</f>
        <v>-1262.58</v>
      </c>
      <c r="E133" s="152">
        <f>IFERROR(__xludf.DUMMYFUNCTION("""COMPUTED_VALUE"""),-1.2753333333333332)</f>
        <v>-1.275333333</v>
      </c>
      <c r="F133" s="150">
        <f t="shared" si="8"/>
        <v>29.40325323</v>
      </c>
      <c r="G133" s="150">
        <f t="shared" si="9"/>
        <v>-5.557614141</v>
      </c>
      <c r="H133" s="150">
        <f t="shared" si="3"/>
        <v>-8.816266667</v>
      </c>
      <c r="I133" s="150">
        <f t="shared" si="10"/>
        <v>3</v>
      </c>
      <c r="J133" s="150">
        <f t="shared" si="11"/>
        <v>-3.109333333</v>
      </c>
      <c r="K133" s="151">
        <f t="shared" si="4"/>
        <v>-8.816266667</v>
      </c>
      <c r="L133" s="150">
        <f t="shared" si="5"/>
        <v>-0.1195714286</v>
      </c>
      <c r="M133" s="150">
        <f t="shared" si="6"/>
        <v>0.3529411765</v>
      </c>
    </row>
    <row r="134" ht="22.5" customHeight="1">
      <c r="A134" s="149">
        <v>133.0</v>
      </c>
      <c r="B134" s="152">
        <f t="shared" ref="B134:C134" si="141">B133+D134</f>
        <v>38.54</v>
      </c>
      <c r="C134" s="152">
        <f t="shared" si="141"/>
        <v>25.43697242</v>
      </c>
      <c r="D134" s="152">
        <f>IFERROR(__xludf.DUMMYFUNCTION("""COMPUTED_VALUE"""),1575.42)</f>
        <v>1575.42</v>
      </c>
      <c r="E134" s="152">
        <f>IFERROR(__xludf.DUMMYFUNCTION("""COMPUTED_VALUE"""),1.5913333333333335)</f>
        <v>1.591333333</v>
      </c>
      <c r="F134" s="150">
        <f t="shared" si="8"/>
        <v>29.40325323</v>
      </c>
      <c r="G134" s="150">
        <f t="shared" si="9"/>
        <v>-3.966280808</v>
      </c>
      <c r="H134" s="150">
        <f t="shared" si="3"/>
        <v>-8.816266667</v>
      </c>
      <c r="I134" s="150">
        <f t="shared" si="10"/>
        <v>0</v>
      </c>
      <c r="J134" s="150">
        <f t="shared" si="11"/>
        <v>0</v>
      </c>
      <c r="K134" s="151">
        <f t="shared" si="4"/>
        <v>-8.816266667</v>
      </c>
      <c r="L134" s="150">
        <f t="shared" si="5"/>
        <v>-0.07425641026</v>
      </c>
      <c r="M134" s="150">
        <f t="shared" si="6"/>
        <v>0.3529411765</v>
      </c>
    </row>
    <row r="135" ht="22.5" customHeight="1">
      <c r="A135" s="149">
        <v>134.0</v>
      </c>
      <c r="B135" s="152">
        <f t="shared" ref="B135:C135" si="142">B134+D135</f>
        <v>-217.46</v>
      </c>
      <c r="C135" s="152">
        <f t="shared" si="142"/>
        <v>25.17838656</v>
      </c>
      <c r="D135" s="152">
        <f>IFERROR(__xludf.DUMMYFUNCTION("""COMPUTED_VALUE"""),-256.0)</f>
        <v>-256</v>
      </c>
      <c r="E135" s="152">
        <f>IFERROR(__xludf.DUMMYFUNCTION("""COMPUTED_VALUE"""),-0.2585858585858586)</f>
        <v>-0.2585858586</v>
      </c>
      <c r="F135" s="150">
        <f t="shared" si="8"/>
        <v>29.40325323</v>
      </c>
      <c r="G135" s="150">
        <f t="shared" si="9"/>
        <v>-4.224866667</v>
      </c>
      <c r="H135" s="150">
        <f t="shared" si="3"/>
        <v>-8.816266667</v>
      </c>
      <c r="I135" s="150">
        <f t="shared" si="10"/>
        <v>1</v>
      </c>
      <c r="J135" s="150">
        <f t="shared" si="11"/>
        <v>-0.2585858586</v>
      </c>
      <c r="K135" s="151">
        <f t="shared" si="4"/>
        <v>-8.816266667</v>
      </c>
      <c r="L135" s="150">
        <f t="shared" si="5"/>
        <v>0.02583333333</v>
      </c>
      <c r="M135" s="150">
        <f t="shared" si="6"/>
        <v>0.2941176471</v>
      </c>
    </row>
    <row r="136" ht="22.5" customHeight="1">
      <c r="A136" s="149">
        <v>135.0</v>
      </c>
      <c r="B136" s="152">
        <f t="shared" ref="B136:C136" si="143">B135+D136</f>
        <v>1070.54</v>
      </c>
      <c r="C136" s="152">
        <f t="shared" si="143"/>
        <v>26.46638656</v>
      </c>
      <c r="D136" s="152">
        <f>IFERROR(__xludf.DUMMYFUNCTION("""COMPUTED_VALUE"""),1288.0)</f>
        <v>1288</v>
      </c>
      <c r="E136" s="152">
        <f>IFERROR(__xludf.DUMMYFUNCTION("""COMPUTED_VALUE"""),1.288)</f>
        <v>1.288</v>
      </c>
      <c r="F136" s="150">
        <f t="shared" si="8"/>
        <v>29.40325323</v>
      </c>
      <c r="G136" s="150">
        <f t="shared" si="9"/>
        <v>-2.936866667</v>
      </c>
      <c r="H136" s="150">
        <f t="shared" si="3"/>
        <v>-8.816266667</v>
      </c>
      <c r="I136" s="150">
        <f t="shared" si="10"/>
        <v>0</v>
      </c>
      <c r="J136" s="150">
        <f t="shared" si="11"/>
        <v>0</v>
      </c>
      <c r="K136" s="151">
        <f t="shared" si="4"/>
        <v>-8.816266667</v>
      </c>
      <c r="L136" s="150">
        <f t="shared" si="5"/>
        <v>-0.1164848485</v>
      </c>
      <c r="M136" s="150">
        <f t="shared" si="6"/>
        <v>0.3529411765</v>
      </c>
    </row>
    <row r="137" ht="22.5" customHeight="1">
      <c r="A137" s="149">
        <v>136.0</v>
      </c>
      <c r="B137" s="152">
        <f t="shared" ref="B137:C137" si="144">B136+D137</f>
        <v>-9.46</v>
      </c>
      <c r="C137" s="152">
        <f t="shared" si="144"/>
        <v>25.38638656</v>
      </c>
      <c r="D137" s="152">
        <f>IFERROR(__xludf.DUMMYFUNCTION("""COMPUTED_VALUE"""),-1080.0)</f>
        <v>-1080</v>
      </c>
      <c r="E137" s="152">
        <f>IFERROR(__xludf.DUMMYFUNCTION("""COMPUTED_VALUE"""),-1.08)</f>
        <v>-1.08</v>
      </c>
      <c r="F137" s="150">
        <f t="shared" si="8"/>
        <v>29.40325323</v>
      </c>
      <c r="G137" s="150">
        <f t="shared" si="9"/>
        <v>-4.016866667</v>
      </c>
      <c r="H137" s="150">
        <f t="shared" si="3"/>
        <v>-8.816266667</v>
      </c>
      <c r="I137" s="150">
        <f t="shared" si="10"/>
        <v>1</v>
      </c>
      <c r="J137" s="150">
        <f t="shared" si="11"/>
        <v>-1.08</v>
      </c>
      <c r="K137" s="151">
        <f t="shared" si="4"/>
        <v>-8.816266667</v>
      </c>
      <c r="L137" s="150">
        <f t="shared" si="5"/>
        <v>-0.1022747475</v>
      </c>
      <c r="M137" s="150">
        <f t="shared" si="6"/>
        <v>0.2941176471</v>
      </c>
    </row>
    <row r="138" ht="22.5" customHeight="1">
      <c r="A138" s="149">
        <v>137.0</v>
      </c>
      <c r="B138" s="152">
        <f t="shared" ref="B138:C138" si="145">B137+D138</f>
        <v>-1139.46</v>
      </c>
      <c r="C138" s="152">
        <f t="shared" si="145"/>
        <v>24.24497242</v>
      </c>
      <c r="D138" s="152">
        <f>IFERROR(__xludf.DUMMYFUNCTION("""COMPUTED_VALUE"""),-1130.0)</f>
        <v>-1130</v>
      </c>
      <c r="E138" s="152">
        <f>IFERROR(__xludf.DUMMYFUNCTION("""COMPUTED_VALUE"""),-1.1414141414141414)</f>
        <v>-1.141414141</v>
      </c>
      <c r="F138" s="152">
        <f t="shared" si="8"/>
        <v>29.40325323</v>
      </c>
      <c r="G138" s="152">
        <f t="shared" si="9"/>
        <v>-5.158280808</v>
      </c>
      <c r="H138" s="152">
        <f t="shared" si="3"/>
        <v>-8.816266667</v>
      </c>
      <c r="I138" s="152">
        <f t="shared" si="10"/>
        <v>2</v>
      </c>
      <c r="J138" s="152">
        <f t="shared" si="11"/>
        <v>-2.221414141</v>
      </c>
      <c r="K138" s="153">
        <f t="shared" si="4"/>
        <v>-8.816266667</v>
      </c>
      <c r="L138" s="152">
        <f t="shared" si="5"/>
        <v>-0.2567497194</v>
      </c>
      <c r="M138" s="152">
        <f t="shared" si="6"/>
        <v>0.2941176471</v>
      </c>
    </row>
    <row r="139" ht="22.5" customHeight="1">
      <c r="A139" s="149">
        <v>138.0</v>
      </c>
      <c r="B139" s="152">
        <f t="shared" ref="B139:C139" si="146">B138+D139</f>
        <v>-2191.46</v>
      </c>
      <c r="C139" s="152">
        <f t="shared" si="146"/>
        <v>23.19297242</v>
      </c>
      <c r="D139" s="152">
        <f>IFERROR(__xludf.DUMMYFUNCTION("""COMPUTED_VALUE"""),-1052.0)</f>
        <v>-1052</v>
      </c>
      <c r="E139" s="152">
        <f>IFERROR(__xludf.DUMMYFUNCTION("""COMPUTED_VALUE"""),-1.052)</f>
        <v>-1.052</v>
      </c>
      <c r="F139" s="152">
        <f t="shared" si="8"/>
        <v>29.40325323</v>
      </c>
      <c r="G139" s="152">
        <f t="shared" si="9"/>
        <v>-6.210280808</v>
      </c>
      <c r="H139" s="152">
        <f t="shared" si="3"/>
        <v>-8.816266667</v>
      </c>
      <c r="I139" s="152">
        <f t="shared" si="10"/>
        <v>3</v>
      </c>
      <c r="J139" s="152">
        <f t="shared" si="11"/>
        <v>-3.273414141</v>
      </c>
      <c r="K139" s="153">
        <f t="shared" si="4"/>
        <v>-8.816266667</v>
      </c>
      <c r="L139" s="152">
        <f t="shared" si="5"/>
        <v>-0.1538434343</v>
      </c>
      <c r="M139" s="152">
        <f t="shared" si="6"/>
        <v>0.2352941176</v>
      </c>
    </row>
    <row r="140" ht="22.5" customHeight="1">
      <c r="A140" s="149">
        <v>139.0</v>
      </c>
      <c r="B140" s="152">
        <f t="shared" ref="B140:C140" si="147">B139+D140</f>
        <v>-55.04</v>
      </c>
      <c r="C140" s="152">
        <f t="shared" si="147"/>
        <v>25.35097242</v>
      </c>
      <c r="D140" s="152">
        <f>IFERROR(__xludf.DUMMYFUNCTION("""COMPUTED_VALUE"""),2136.42)</f>
        <v>2136.42</v>
      </c>
      <c r="E140" s="152">
        <f>IFERROR(__xludf.DUMMYFUNCTION("""COMPUTED_VALUE"""),2.158)</f>
        <v>2.158</v>
      </c>
      <c r="F140" s="152">
        <f t="shared" si="8"/>
        <v>29.40325323</v>
      </c>
      <c r="G140" s="152">
        <f t="shared" si="9"/>
        <v>-4.052280808</v>
      </c>
      <c r="H140" s="152">
        <f t="shared" si="3"/>
        <v>-8.816266667</v>
      </c>
      <c r="I140" s="152">
        <f t="shared" si="10"/>
        <v>0</v>
      </c>
      <c r="J140" s="152">
        <f t="shared" si="11"/>
        <v>0</v>
      </c>
      <c r="K140" s="153">
        <f t="shared" si="4"/>
        <v>-8.816266667</v>
      </c>
      <c r="L140" s="152">
        <f t="shared" si="5"/>
        <v>-0.01276190476</v>
      </c>
      <c r="M140" s="152">
        <f t="shared" si="6"/>
        <v>0.2941176471</v>
      </c>
    </row>
    <row r="141" ht="22.5" customHeight="1">
      <c r="A141" s="149">
        <v>140.0</v>
      </c>
      <c r="B141" s="152">
        <f t="shared" ref="B141:C141" si="148">B140+D141</f>
        <v>-1135.04</v>
      </c>
      <c r="C141" s="152">
        <f t="shared" si="148"/>
        <v>24.27097242</v>
      </c>
      <c r="D141" s="152">
        <f>IFERROR(__xludf.DUMMYFUNCTION("""COMPUTED_VALUE"""),-1080.0)</f>
        <v>-1080</v>
      </c>
      <c r="E141" s="152">
        <f>IFERROR(__xludf.DUMMYFUNCTION("""COMPUTED_VALUE"""),-1.08)</f>
        <v>-1.08</v>
      </c>
      <c r="F141" s="152">
        <f t="shared" si="8"/>
        <v>29.40325323</v>
      </c>
      <c r="G141" s="152">
        <f t="shared" si="9"/>
        <v>-5.132280808</v>
      </c>
      <c r="H141" s="152">
        <f t="shared" si="3"/>
        <v>-8.816266667</v>
      </c>
      <c r="I141" s="152">
        <f t="shared" si="10"/>
        <v>1</v>
      </c>
      <c r="J141" s="152">
        <f t="shared" si="11"/>
        <v>-1.08</v>
      </c>
      <c r="K141" s="153">
        <f t="shared" si="4"/>
        <v>-8.816266667</v>
      </c>
      <c r="L141" s="152">
        <f t="shared" si="5"/>
        <v>0.1604444444</v>
      </c>
      <c r="M141" s="152">
        <f t="shared" si="6"/>
        <v>0.2941176471</v>
      </c>
    </row>
    <row r="142" ht="22.5" customHeight="1">
      <c r="A142" s="149">
        <v>141.0</v>
      </c>
      <c r="B142" s="152">
        <f t="shared" ref="B142:C142" si="149">B141+D142</f>
        <v>-2298.62</v>
      </c>
      <c r="C142" s="152">
        <f t="shared" si="149"/>
        <v>23.09563909</v>
      </c>
      <c r="D142" s="152">
        <f>IFERROR(__xludf.DUMMYFUNCTION("""COMPUTED_VALUE"""),-1163.58)</f>
        <v>-1163.58</v>
      </c>
      <c r="E142" s="152">
        <f>IFERROR(__xludf.DUMMYFUNCTION("""COMPUTED_VALUE"""),-1.1753333333333333)</f>
        <v>-1.175333333</v>
      </c>
      <c r="F142" s="152">
        <f t="shared" si="8"/>
        <v>29.40325323</v>
      </c>
      <c r="G142" s="152">
        <f t="shared" si="9"/>
        <v>-6.307614141</v>
      </c>
      <c r="H142" s="152">
        <f t="shared" si="3"/>
        <v>-8.816266667</v>
      </c>
      <c r="I142" s="152">
        <f t="shared" si="10"/>
        <v>2</v>
      </c>
      <c r="J142" s="152">
        <f t="shared" si="11"/>
        <v>-2.255333333</v>
      </c>
      <c r="K142" s="153">
        <f t="shared" si="4"/>
        <v>-8.816266667</v>
      </c>
      <c r="L142" s="152">
        <f t="shared" si="5"/>
        <v>-0.2390666667</v>
      </c>
      <c r="M142" s="152">
        <f t="shared" si="6"/>
        <v>0.2777777778</v>
      </c>
    </row>
    <row r="143" ht="22.5" customHeight="1">
      <c r="A143" s="149">
        <v>142.0</v>
      </c>
      <c r="B143" s="152">
        <f t="shared" ref="B143:C143" si="150">B142+D143</f>
        <v>-3390.62</v>
      </c>
      <c r="C143" s="152">
        <f t="shared" si="150"/>
        <v>22.00363909</v>
      </c>
      <c r="D143" s="152">
        <f>IFERROR(__xludf.DUMMYFUNCTION("""COMPUTED_VALUE"""),-1092.0)</f>
        <v>-1092</v>
      </c>
      <c r="E143" s="152">
        <f>IFERROR(__xludf.DUMMYFUNCTION("""COMPUTED_VALUE"""),-1.092)</f>
        <v>-1.092</v>
      </c>
      <c r="F143" s="152">
        <f t="shared" si="8"/>
        <v>29.40325323</v>
      </c>
      <c r="G143" s="152">
        <f t="shared" si="9"/>
        <v>-7.399614141</v>
      </c>
      <c r="H143" s="152">
        <f t="shared" si="3"/>
        <v>-8.816266667</v>
      </c>
      <c r="I143" s="152">
        <f t="shared" si="10"/>
        <v>3</v>
      </c>
      <c r="J143" s="152">
        <f t="shared" si="11"/>
        <v>-3.347333333</v>
      </c>
      <c r="K143" s="153">
        <f t="shared" si="4"/>
        <v>-8.816266667</v>
      </c>
      <c r="L143" s="152">
        <f t="shared" si="5"/>
        <v>-0.02883333333</v>
      </c>
      <c r="M143" s="152">
        <f t="shared" si="6"/>
        <v>0.2777777778</v>
      </c>
    </row>
    <row r="144" ht="22.5" customHeight="1">
      <c r="A144" s="149">
        <v>143.0</v>
      </c>
      <c r="B144" s="152">
        <f t="shared" ref="B144:C144" si="151">B143+D144</f>
        <v>-1778.62</v>
      </c>
      <c r="C144" s="152">
        <f t="shared" si="151"/>
        <v>23.61563909</v>
      </c>
      <c r="D144" s="152">
        <f>IFERROR(__xludf.DUMMYFUNCTION("""COMPUTED_VALUE"""),1612.0)</f>
        <v>1612</v>
      </c>
      <c r="E144" s="152">
        <f>IFERROR(__xludf.DUMMYFUNCTION("""COMPUTED_VALUE"""),1.612)</f>
        <v>1.612</v>
      </c>
      <c r="F144" s="152">
        <f t="shared" si="8"/>
        <v>29.40325323</v>
      </c>
      <c r="G144" s="152">
        <f t="shared" si="9"/>
        <v>-5.787614141</v>
      </c>
      <c r="H144" s="152">
        <f t="shared" si="3"/>
        <v>-8.816266667</v>
      </c>
      <c r="I144" s="152">
        <f t="shared" si="10"/>
        <v>0</v>
      </c>
      <c r="J144" s="152">
        <f t="shared" si="11"/>
        <v>0</v>
      </c>
      <c r="K144" s="153">
        <f t="shared" si="4"/>
        <v>-8.816266667</v>
      </c>
      <c r="L144" s="152">
        <f t="shared" si="5"/>
        <v>0.3533333333</v>
      </c>
      <c r="M144" s="152">
        <f t="shared" si="6"/>
        <v>0.3333333333</v>
      </c>
    </row>
    <row r="145" ht="22.5" customHeight="1">
      <c r="A145" s="149">
        <v>144.0</v>
      </c>
      <c r="B145" s="152">
        <f t="shared" ref="B145:C145" si="152">B144+D145</f>
        <v>-1238.62</v>
      </c>
      <c r="C145" s="152">
        <f t="shared" si="152"/>
        <v>24.15563909</v>
      </c>
      <c r="D145" s="152">
        <f>IFERROR(__xludf.DUMMYFUNCTION("""COMPUTED_VALUE"""),540.0)</f>
        <v>540</v>
      </c>
      <c r="E145" s="152">
        <f>IFERROR(__xludf.DUMMYFUNCTION("""COMPUTED_VALUE"""),0.54)</f>
        <v>0.54</v>
      </c>
      <c r="F145" s="152">
        <f t="shared" si="8"/>
        <v>29.40325323</v>
      </c>
      <c r="G145" s="152">
        <f t="shared" si="9"/>
        <v>-5.247614141</v>
      </c>
      <c r="H145" s="152">
        <f t="shared" si="3"/>
        <v>-8.816266667</v>
      </c>
      <c r="I145" s="152">
        <f t="shared" si="10"/>
        <v>0</v>
      </c>
      <c r="J145" s="152">
        <f t="shared" si="11"/>
        <v>0</v>
      </c>
      <c r="K145" s="153">
        <f t="shared" si="4"/>
        <v>-8.816266667</v>
      </c>
      <c r="L145" s="152">
        <f t="shared" si="5"/>
        <v>1.076</v>
      </c>
      <c r="M145" s="152">
        <f t="shared" si="6"/>
        <v>0.3333333333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1.89"/>
    <col customWidth="1" min="3" max="3" width="11.67"/>
    <col customWidth="1" min="4" max="5" width="6.78"/>
    <col customWidth="1" min="6" max="6" width="15.67"/>
    <col customWidth="1" min="7" max="7" width="14.67"/>
    <col customWidth="1" min="8" max="13" width="6.78"/>
  </cols>
  <sheetData>
    <row r="1" ht="15.75" customHeight="1"/>
    <row r="2" ht="15.75" customHeight="1"/>
    <row r="3" ht="15.75" customHeight="1"/>
    <row r="4" ht="15.75" customHeight="1"/>
    <row r="5" ht="56.25" customHeight="1">
      <c r="B5" s="2" t="s">
        <v>1</v>
      </c>
      <c r="C5" s="4" t="s">
        <v>3</v>
      </c>
    </row>
    <row r="6" ht="15.75" customHeight="1">
      <c r="B6" s="5" t="s">
        <v>7</v>
      </c>
      <c r="C6" s="4" t="s">
        <v>8</v>
      </c>
    </row>
    <row r="7" ht="15.75" customHeight="1">
      <c r="B7" s="6" t="s">
        <v>9</v>
      </c>
      <c r="C7" s="4" t="s">
        <v>8</v>
      </c>
    </row>
    <row r="8" ht="33.0" customHeight="1">
      <c r="B8" s="6" t="s">
        <v>10</v>
      </c>
      <c r="C8" s="4" t="s">
        <v>8</v>
      </c>
    </row>
    <row r="9" ht="15.75" customHeight="1">
      <c r="B9" s="6" t="s">
        <v>11</v>
      </c>
      <c r="C9" s="4" t="s">
        <v>8</v>
      </c>
    </row>
    <row r="10" ht="27.0" customHeight="1">
      <c r="B10" s="6" t="s">
        <v>12</v>
      </c>
      <c r="C10" s="4" t="s">
        <v>8</v>
      </c>
    </row>
    <row r="11" ht="27.0" customHeight="1">
      <c r="B11" s="6" t="s">
        <v>14</v>
      </c>
      <c r="C11" s="4" t="s">
        <v>8</v>
      </c>
    </row>
    <row r="12" ht="36.75" customHeight="1">
      <c r="B12" s="2" t="s">
        <v>15</v>
      </c>
      <c r="C12" s="4"/>
    </row>
    <row r="13" ht="15.75" customHeight="1">
      <c r="B13" s="6" t="s">
        <v>16</v>
      </c>
      <c r="C13" s="4" t="s">
        <v>8</v>
      </c>
    </row>
    <row r="14" ht="15.75" customHeight="1">
      <c r="B14" s="6" t="s">
        <v>17</v>
      </c>
      <c r="C14" s="4" t="s">
        <v>8</v>
      </c>
    </row>
    <row r="15">
      <c r="B15" s="2" t="s">
        <v>19</v>
      </c>
      <c r="C15" s="4"/>
    </row>
    <row r="16" ht="27.75" customHeight="1">
      <c r="B16" s="4" t="s">
        <v>21</v>
      </c>
      <c r="C16" s="4" t="s">
        <v>8</v>
      </c>
    </row>
    <row r="17" ht="27.75" customHeight="1">
      <c r="B17" s="6" t="s">
        <v>24</v>
      </c>
      <c r="C17" s="4" t="s">
        <v>8</v>
      </c>
    </row>
    <row r="18" ht="15.75" customHeight="1">
      <c r="B18" s="6" t="s">
        <v>27</v>
      </c>
      <c r="C18" s="4" t="s">
        <v>8</v>
      </c>
    </row>
    <row r="19" ht="15.75" customHeight="1">
      <c r="B19" s="6" t="s">
        <v>30</v>
      </c>
      <c r="C19" s="4" t="s">
        <v>8</v>
      </c>
    </row>
    <row r="20" ht="15.75" customHeight="1">
      <c r="B20" s="6" t="s">
        <v>32</v>
      </c>
      <c r="C20" s="4" t="s">
        <v>8</v>
      </c>
    </row>
    <row r="21" ht="24.75" customHeight="1">
      <c r="B21" s="2" t="s">
        <v>33</v>
      </c>
      <c r="C21" s="4"/>
    </row>
    <row r="22" ht="15.75" customHeight="1">
      <c r="B22" s="13" t="s">
        <v>34</v>
      </c>
      <c r="C22" s="4" t="s">
        <v>8</v>
      </c>
    </row>
    <row r="23" ht="15.75" customHeight="1">
      <c r="B23" s="6"/>
      <c r="C23" s="4" t="s">
        <v>35</v>
      </c>
    </row>
    <row r="24" ht="15.75" customHeight="1">
      <c r="B24" s="6"/>
      <c r="C24" s="4" t="s">
        <v>35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dataValidations>
    <dataValidation type="list" allowBlank="1" showErrorMessage="1" sqref="C6:C24">
      <formula1>"PASS,FAIL,Uncheck"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3.0"/>
  </cols>
  <sheetData>
    <row r="2">
      <c r="A2" s="1" t="s">
        <v>0</v>
      </c>
      <c r="B2" s="3" t="s">
        <v>2</v>
      </c>
      <c r="C2" s="1" t="s">
        <v>4</v>
      </c>
      <c r="D2" s="3" t="s">
        <v>5</v>
      </c>
      <c r="E2" s="3" t="s">
        <v>6</v>
      </c>
    </row>
    <row r="3">
      <c r="A3" s="3">
        <v>0.3</v>
      </c>
      <c r="B3" s="3">
        <v>0.75</v>
      </c>
      <c r="D3" s="3">
        <v>0.85</v>
      </c>
      <c r="E3" s="7">
        <f>A3</f>
        <v>0.3</v>
      </c>
      <c r="F3" s="3" t="s">
        <v>13</v>
      </c>
    </row>
    <row r="6">
      <c r="B6" s="3">
        <v>200000.0</v>
      </c>
      <c r="C6" s="3">
        <v>7000.0</v>
      </c>
    </row>
    <row r="7">
      <c r="A7" s="3" t="s">
        <v>13</v>
      </c>
      <c r="B7" s="3">
        <v>0.3</v>
      </c>
      <c r="C7" s="7">
        <f>60/C6</f>
        <v>0.008571428571</v>
      </c>
      <c r="E7" s="10"/>
      <c r="F7" s="11" t="s">
        <v>20</v>
      </c>
      <c r="G7" s="11" t="s">
        <v>22</v>
      </c>
    </row>
    <row r="8">
      <c r="A8" s="3" t="s">
        <v>25</v>
      </c>
      <c r="B8" s="3">
        <v>20.0</v>
      </c>
      <c r="C8" s="3">
        <v>20.0</v>
      </c>
      <c r="E8" s="11" t="s">
        <v>25</v>
      </c>
      <c r="F8" s="11">
        <v>15.0</v>
      </c>
      <c r="G8" s="11">
        <v>10.0</v>
      </c>
    </row>
    <row r="9">
      <c r="A9" s="3" t="s">
        <v>29</v>
      </c>
      <c r="B9" s="7">
        <f>(B6*B7*0.01)/B8</f>
        <v>30</v>
      </c>
      <c r="C9" s="3">
        <v>3.0</v>
      </c>
      <c r="E9" s="14" t="s">
        <v>29</v>
      </c>
      <c r="F9" s="17">
        <f>(C6*3*0.01)/F8</f>
        <v>14</v>
      </c>
      <c r="G9" s="17">
        <f>(C6*3*0.01)/G8</f>
        <v>21</v>
      </c>
    </row>
    <row r="10">
      <c r="B10" s="3">
        <f>(B6*B7*0.01)</f>
        <v>600</v>
      </c>
      <c r="C10" s="3">
        <f>C9*C8</f>
        <v>60</v>
      </c>
      <c r="H10" s="7">
        <f t="shared" ref="H10:I10" si="1">F8*F9</f>
        <v>210</v>
      </c>
      <c r="I10" s="7">
        <f t="shared" si="1"/>
        <v>210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1.89"/>
    <col customWidth="1" min="3" max="3" width="16.0"/>
    <col customWidth="1" min="5" max="5" width="34.67"/>
  </cols>
  <sheetData>
    <row r="5">
      <c r="B5" s="26" t="s">
        <v>56</v>
      </c>
      <c r="C5" s="27"/>
      <c r="D5" s="27"/>
      <c r="E5" s="26" t="s">
        <v>57</v>
      </c>
      <c r="F5" s="27"/>
      <c r="G5" s="28" t="s">
        <v>58</v>
      </c>
    </row>
    <row r="6">
      <c r="B6" s="30" t="s">
        <v>61</v>
      </c>
      <c r="C6" s="27"/>
      <c r="D6" s="27"/>
      <c r="E6" s="30" t="s">
        <v>62</v>
      </c>
      <c r="F6" s="27"/>
    </row>
    <row r="7">
      <c r="B7" s="30" t="s">
        <v>63</v>
      </c>
      <c r="C7" s="27"/>
      <c r="D7" s="27"/>
      <c r="E7" s="30" t="s">
        <v>64</v>
      </c>
      <c r="F7" s="27"/>
    </row>
    <row r="8">
      <c r="B8" s="30" t="s">
        <v>65</v>
      </c>
      <c r="C8" s="27"/>
      <c r="D8" s="27"/>
      <c r="E8" s="30" t="s">
        <v>66</v>
      </c>
      <c r="F8" s="27"/>
    </row>
    <row r="9">
      <c r="B9" s="27"/>
      <c r="C9" s="27"/>
      <c r="D9" s="27"/>
      <c r="E9" s="30" t="s">
        <v>67</v>
      </c>
      <c r="F9" s="27"/>
    </row>
    <row r="10">
      <c r="B10" s="27"/>
      <c r="C10" s="27"/>
      <c r="D10" s="27"/>
      <c r="E10" s="30" t="s">
        <v>68</v>
      </c>
      <c r="F10" s="27"/>
    </row>
    <row r="11">
      <c r="E11" s="3" t="s">
        <v>70</v>
      </c>
      <c r="F11" s="3" t="s">
        <v>71</v>
      </c>
    </row>
    <row r="12">
      <c r="E12" s="3" t="s">
        <v>72</v>
      </c>
    </row>
    <row r="13">
      <c r="E13" s="3" t="s">
        <v>74</v>
      </c>
      <c r="F13" s="3" t="s">
        <v>71</v>
      </c>
    </row>
    <row r="18">
      <c r="B18" s="3" t="s">
        <v>75</v>
      </c>
      <c r="E18" s="3" t="s">
        <v>76</v>
      </c>
    </row>
    <row r="19">
      <c r="B19" s="3" t="s">
        <v>77</v>
      </c>
      <c r="E19" s="3" t="s">
        <v>78</v>
      </c>
    </row>
    <row r="20">
      <c r="B20" s="3" t="s">
        <v>79</v>
      </c>
    </row>
    <row r="21">
      <c r="E21" s="3" t="s">
        <v>80</v>
      </c>
    </row>
    <row r="22">
      <c r="B22" s="3" t="s">
        <v>81</v>
      </c>
      <c r="E22" s="3" t="s">
        <v>82</v>
      </c>
    </row>
    <row r="23">
      <c r="B23" s="3" t="s">
        <v>83</v>
      </c>
    </row>
    <row r="24">
      <c r="B24" s="3" t="s">
        <v>84</v>
      </c>
      <c r="E24" s="3" t="s">
        <v>85</v>
      </c>
    </row>
    <row r="25">
      <c r="E25" s="3" t="s">
        <v>86</v>
      </c>
    </row>
    <row r="28">
      <c r="E28" s="3" t="s">
        <v>87</v>
      </c>
    </row>
  </sheetData>
  <hyperlinks>
    <hyperlink r:id="rId1" ref="G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2.56"/>
    <col customWidth="1" min="3" max="3" width="61.33"/>
    <col customWidth="1" min="4" max="4" width="38.22"/>
    <col customWidth="1" min="9" max="9" width="20.33"/>
  </cols>
  <sheetData>
    <row r="4">
      <c r="B4" s="3" t="s">
        <v>88</v>
      </c>
    </row>
    <row r="6">
      <c r="B6" s="3" t="s">
        <v>89</v>
      </c>
      <c r="C6" s="3" t="s">
        <v>90</v>
      </c>
    </row>
    <row r="8">
      <c r="B8" s="3" t="s">
        <v>91</v>
      </c>
      <c r="I8" s="3" t="s">
        <v>92</v>
      </c>
    </row>
    <row r="9">
      <c r="B9" s="3" t="s">
        <v>93</v>
      </c>
      <c r="I9" s="3" t="s">
        <v>94</v>
      </c>
    </row>
    <row r="10">
      <c r="B10" s="3" t="s">
        <v>95</v>
      </c>
    </row>
    <row r="11">
      <c r="B11" s="3" t="s">
        <v>96</v>
      </c>
    </row>
    <row r="13">
      <c r="B13" s="3" t="s">
        <v>97</v>
      </c>
    </row>
    <row r="14">
      <c r="B14" s="3" t="s">
        <v>98</v>
      </c>
      <c r="C14" s="3" t="s">
        <v>99</v>
      </c>
    </row>
    <row r="15">
      <c r="B15" s="3" t="s">
        <v>100</v>
      </c>
      <c r="C15" s="3" t="s">
        <v>101</v>
      </c>
    </row>
    <row r="17">
      <c r="B17" s="3" t="s">
        <v>102</v>
      </c>
    </row>
    <row r="18">
      <c r="B18" s="3" t="s">
        <v>103</v>
      </c>
      <c r="C18" s="3" t="s">
        <v>104</v>
      </c>
      <c r="D18" s="3" t="s">
        <v>105</v>
      </c>
    </row>
    <row r="20">
      <c r="B20" s="3" t="s">
        <v>106</v>
      </c>
    </row>
    <row r="25">
      <c r="B25" s="3" t="s">
        <v>107</v>
      </c>
      <c r="C25" s="3" t="s">
        <v>108</v>
      </c>
      <c r="D25" s="3" t="s">
        <v>105</v>
      </c>
      <c r="G25" s="3" t="s">
        <v>105</v>
      </c>
    </row>
    <row r="26">
      <c r="G26" s="3" t="s">
        <v>109</v>
      </c>
    </row>
    <row r="27">
      <c r="B27" s="3" t="s">
        <v>110</v>
      </c>
      <c r="G27" s="3" t="s">
        <v>111</v>
      </c>
    </row>
    <row r="28">
      <c r="G28" s="3" t="s">
        <v>113</v>
      </c>
    </row>
    <row r="29">
      <c r="B29" s="3" t="s">
        <v>114</v>
      </c>
      <c r="G29" s="3" t="s">
        <v>115</v>
      </c>
      <c r="H29" s="3" t="s">
        <v>116</v>
      </c>
    </row>
    <row r="30">
      <c r="G30" s="3" t="s">
        <v>117</v>
      </c>
    </row>
    <row r="31">
      <c r="B31" s="3" t="s">
        <v>118</v>
      </c>
      <c r="C31" s="3" t="s">
        <v>105</v>
      </c>
    </row>
    <row r="33">
      <c r="B33" s="3" t="s">
        <v>119</v>
      </c>
    </row>
    <row r="35">
      <c r="B35" s="3" t="s">
        <v>120</v>
      </c>
    </row>
    <row r="37">
      <c r="B37" s="3" t="s">
        <v>121</v>
      </c>
      <c r="C37" s="3" t="s">
        <v>105</v>
      </c>
    </row>
    <row r="40">
      <c r="B40" s="3" t="s">
        <v>122</v>
      </c>
    </row>
    <row r="42">
      <c r="B42" s="3" t="s">
        <v>123</v>
      </c>
    </row>
    <row r="43">
      <c r="B43" s="3" t="s">
        <v>124</v>
      </c>
    </row>
    <row r="45">
      <c r="B45" s="3" t="s">
        <v>125</v>
      </c>
      <c r="C45" s="3" t="s">
        <v>126</v>
      </c>
    </row>
    <row r="46">
      <c r="B46" s="3" t="s">
        <v>127</v>
      </c>
      <c r="C46" s="3" t="s">
        <v>128</v>
      </c>
    </row>
    <row r="49">
      <c r="B49" s="3" t="s">
        <v>129</v>
      </c>
    </row>
    <row r="52">
      <c r="B52" s="3" t="s">
        <v>130</v>
      </c>
    </row>
    <row r="54">
      <c r="B54" s="3" t="s">
        <v>131</v>
      </c>
      <c r="C54" s="3" t="s">
        <v>132</v>
      </c>
    </row>
    <row r="56">
      <c r="B56" s="3" t="s">
        <v>133</v>
      </c>
      <c r="C56" s="3" t="s">
        <v>134</v>
      </c>
    </row>
    <row r="60">
      <c r="B60" s="3" t="s">
        <v>135</v>
      </c>
      <c r="C60" s="3" t="s">
        <v>136</v>
      </c>
      <c r="D60" s="3" t="s">
        <v>137</v>
      </c>
      <c r="E60" s="3" t="s">
        <v>138</v>
      </c>
      <c r="G60" s="3" t="s">
        <v>139</v>
      </c>
    </row>
    <row r="61">
      <c r="B61" s="3" t="s">
        <v>140</v>
      </c>
      <c r="C61" s="3" t="s">
        <v>141</v>
      </c>
    </row>
    <row r="62">
      <c r="B62" s="3" t="s">
        <v>142</v>
      </c>
    </row>
    <row r="66">
      <c r="B66" s="3" t="s">
        <v>143</v>
      </c>
      <c r="C66" s="3" t="s">
        <v>144</v>
      </c>
    </row>
    <row r="68">
      <c r="B68" s="3" t="s">
        <v>145</v>
      </c>
      <c r="C68" s="3" t="s">
        <v>146</v>
      </c>
    </row>
    <row r="71">
      <c r="B71" s="3" t="s">
        <v>147</v>
      </c>
      <c r="C71" s="3" t="s">
        <v>148</v>
      </c>
    </row>
    <row r="78">
      <c r="B78" s="3" t="s">
        <v>149</v>
      </c>
      <c r="C78" s="3" t="s">
        <v>150</v>
      </c>
      <c r="D78" s="3" t="s">
        <v>151</v>
      </c>
    </row>
    <row r="81">
      <c r="B81" s="3" t="s">
        <v>152</v>
      </c>
      <c r="E81" s="3" t="s">
        <v>153</v>
      </c>
      <c r="F81" s="3" t="s">
        <v>154</v>
      </c>
      <c r="G81" s="3" t="s">
        <v>155</v>
      </c>
    </row>
    <row r="83">
      <c r="B83" s="3" t="s">
        <v>156</v>
      </c>
      <c r="C83" s="3" t="s">
        <v>157</v>
      </c>
    </row>
    <row r="86">
      <c r="B86" s="3" t="s">
        <v>158</v>
      </c>
      <c r="C86" s="3" t="s">
        <v>159</v>
      </c>
    </row>
    <row r="88">
      <c r="B88" s="3" t="s">
        <v>160</v>
      </c>
    </row>
    <row r="91">
      <c r="B91" s="3" t="s">
        <v>161</v>
      </c>
      <c r="C91" s="3" t="s">
        <v>162</v>
      </c>
    </row>
    <row r="100">
      <c r="B100" s="3" t="s">
        <v>163</v>
      </c>
    </row>
    <row r="101">
      <c r="B101" s="3" t="s">
        <v>164</v>
      </c>
    </row>
    <row r="102">
      <c r="B102" s="3" t="s">
        <v>165</v>
      </c>
      <c r="C102" s="3" t="s">
        <v>166</v>
      </c>
    </row>
    <row r="103">
      <c r="B103" s="3" t="s">
        <v>167</v>
      </c>
    </row>
    <row r="104">
      <c r="B104" s="3" t="s">
        <v>168</v>
      </c>
    </row>
    <row r="105">
      <c r="B105" s="3" t="s">
        <v>169</v>
      </c>
    </row>
    <row r="109">
      <c r="B109" s="3" t="s">
        <v>170</v>
      </c>
      <c r="C109" s="3" t="s">
        <v>171</v>
      </c>
      <c r="D109" s="3" t="s">
        <v>172</v>
      </c>
    </row>
    <row r="113">
      <c r="B113" s="3" t="s">
        <v>173</v>
      </c>
    </row>
    <row r="115">
      <c r="B115" s="3" t="s">
        <v>174</v>
      </c>
      <c r="C115" s="3" t="s">
        <v>175</v>
      </c>
    </row>
    <row r="116">
      <c r="B116" s="3" t="s">
        <v>176</v>
      </c>
      <c r="C116" s="3" t="s">
        <v>177</v>
      </c>
    </row>
    <row r="118">
      <c r="B118" s="3" t="s">
        <v>178</v>
      </c>
    </row>
    <row r="120">
      <c r="B120" s="3" t="s">
        <v>179</v>
      </c>
      <c r="C120" s="3" t="s">
        <v>180</v>
      </c>
      <c r="D120" s="3" t="s">
        <v>181</v>
      </c>
    </row>
    <row r="121">
      <c r="B121" s="3" t="s">
        <v>182</v>
      </c>
    </row>
    <row r="122">
      <c r="B122" s="3" t="s">
        <v>183</v>
      </c>
      <c r="C122" s="3" t="s">
        <v>184</v>
      </c>
    </row>
    <row r="123">
      <c r="B123" s="3" t="s">
        <v>185</v>
      </c>
      <c r="C123" s="3" t="s">
        <v>186</v>
      </c>
    </row>
    <row r="124">
      <c r="C124" s="3" t="s">
        <v>187</v>
      </c>
      <c r="D124" s="3" t="s">
        <v>189</v>
      </c>
      <c r="E124" s="3" t="s">
        <v>190</v>
      </c>
    </row>
    <row r="125">
      <c r="B125" s="3" t="s">
        <v>191</v>
      </c>
    </row>
    <row r="127">
      <c r="B127" s="3" t="s">
        <v>192</v>
      </c>
    </row>
    <row r="129">
      <c r="B129" s="3" t="s">
        <v>193</v>
      </c>
    </row>
    <row r="131">
      <c r="B131" s="3" t="s">
        <v>33</v>
      </c>
    </row>
    <row r="133">
      <c r="B133" s="3" t="s">
        <v>194</v>
      </c>
    </row>
    <row r="135">
      <c r="B135" s="3" t="s">
        <v>195</v>
      </c>
    </row>
    <row r="137">
      <c r="B137" s="3" t="s">
        <v>196</v>
      </c>
    </row>
    <row r="140">
      <c r="B140" s="3" t="s">
        <v>197</v>
      </c>
      <c r="C140" s="3" t="s">
        <v>198</v>
      </c>
      <c r="D140" s="3" t="s">
        <v>199</v>
      </c>
      <c r="E140" s="3" t="s">
        <v>200</v>
      </c>
    </row>
    <row r="141">
      <c r="B141" s="3" t="s">
        <v>201</v>
      </c>
      <c r="C141" s="3" t="s">
        <v>202</v>
      </c>
    </row>
    <row r="143">
      <c r="B143" s="3" t="s">
        <v>203</v>
      </c>
      <c r="C143" s="3" t="s">
        <v>204</v>
      </c>
    </row>
    <row r="145">
      <c r="B145" s="3" t="s">
        <v>205</v>
      </c>
    </row>
    <row r="148">
      <c r="B148" s="3" t="s">
        <v>206</v>
      </c>
      <c r="C148" s="3" t="s">
        <v>207</v>
      </c>
      <c r="D148" s="3" t="s">
        <v>208</v>
      </c>
    </row>
    <row r="149">
      <c r="D149" s="3" t="s">
        <v>209</v>
      </c>
    </row>
    <row r="150">
      <c r="C150" s="3" t="s">
        <v>210</v>
      </c>
    </row>
    <row r="151">
      <c r="B151" s="3" t="s">
        <v>211</v>
      </c>
      <c r="C151" s="3" t="s">
        <v>212</v>
      </c>
    </row>
    <row r="153">
      <c r="C153" s="3" t="s">
        <v>213</v>
      </c>
      <c r="D153" s="3" t="s">
        <v>214</v>
      </c>
    </row>
    <row r="161">
      <c r="B161" s="3" t="s">
        <v>215</v>
      </c>
      <c r="C161" s="3" t="s">
        <v>216</v>
      </c>
    </row>
    <row r="162">
      <c r="C162" s="3" t="s">
        <v>217</v>
      </c>
    </row>
    <row r="164">
      <c r="C164" s="3" t="s">
        <v>218</v>
      </c>
    </row>
    <row r="167">
      <c r="B167" s="3" t="s">
        <v>219</v>
      </c>
      <c r="C167" s="3" t="s">
        <v>220</v>
      </c>
    </row>
    <row r="174">
      <c r="B174" s="3" t="s">
        <v>221</v>
      </c>
    </row>
    <row r="176">
      <c r="B176" s="3" t="s">
        <v>185</v>
      </c>
      <c r="C176" s="3" t="s">
        <v>186</v>
      </c>
    </row>
    <row r="178">
      <c r="B178" s="3" t="s">
        <v>222</v>
      </c>
      <c r="C178" s="3" t="s">
        <v>223</v>
      </c>
      <c r="D178" s="3" t="s">
        <v>224</v>
      </c>
      <c r="E178" s="3" t="s">
        <v>225</v>
      </c>
    </row>
    <row r="180">
      <c r="B180" s="3" t="s">
        <v>226</v>
      </c>
    </row>
    <row r="181">
      <c r="B181" s="3" t="s">
        <v>227</v>
      </c>
    </row>
    <row r="182">
      <c r="B182" s="3" t="s">
        <v>228</v>
      </c>
    </row>
    <row r="186">
      <c r="B186" s="3" t="s">
        <v>229</v>
      </c>
      <c r="C186" s="3" t="s">
        <v>230</v>
      </c>
      <c r="D186" s="3" t="s">
        <v>231</v>
      </c>
    </row>
    <row r="189">
      <c r="B189" s="3" t="s">
        <v>233</v>
      </c>
      <c r="C189" s="3" t="s">
        <v>234</v>
      </c>
    </row>
    <row r="191">
      <c r="B191" s="3" t="s">
        <v>236</v>
      </c>
      <c r="C191" s="3" t="s">
        <v>237</v>
      </c>
    </row>
    <row r="192">
      <c r="B192" s="3" t="s">
        <v>238</v>
      </c>
      <c r="C192" s="3" t="s">
        <v>239</v>
      </c>
    </row>
    <row r="194">
      <c r="B194" s="3" t="s">
        <v>240</v>
      </c>
      <c r="C194" s="3" t="s">
        <v>241</v>
      </c>
    </row>
    <row r="196">
      <c r="B196" s="3" t="s">
        <v>242</v>
      </c>
      <c r="C196" s="3" t="s">
        <v>243</v>
      </c>
      <c r="D196" s="3" t="s">
        <v>244</v>
      </c>
    </row>
    <row r="198">
      <c r="B198" s="3" t="s">
        <v>246</v>
      </c>
      <c r="C198" s="3" t="s">
        <v>247</v>
      </c>
    </row>
    <row r="199">
      <c r="B199" s="3" t="s">
        <v>248</v>
      </c>
      <c r="C199" s="3" t="s">
        <v>247</v>
      </c>
    </row>
    <row r="201">
      <c r="B201" s="3" t="s">
        <v>250</v>
      </c>
      <c r="C201" s="3" t="s">
        <v>252</v>
      </c>
      <c r="D201" s="3" t="s">
        <v>253</v>
      </c>
    </row>
    <row r="202">
      <c r="B202" s="3" t="s">
        <v>255</v>
      </c>
    </row>
    <row r="203">
      <c r="B203" s="3">
        <v>7000.0</v>
      </c>
      <c r="C203" s="3" t="s">
        <v>257</v>
      </c>
      <c r="D203" s="3" t="s">
        <v>258</v>
      </c>
    </row>
    <row r="204">
      <c r="C204" s="3" t="s">
        <v>260</v>
      </c>
      <c r="D204" s="3" t="s">
        <v>261</v>
      </c>
    </row>
    <row r="207">
      <c r="B207" s="3" t="s">
        <v>263</v>
      </c>
      <c r="C207" s="3" t="s">
        <v>264</v>
      </c>
    </row>
    <row r="215">
      <c r="B215" s="3" t="s">
        <v>265</v>
      </c>
      <c r="C215" s="3" t="s">
        <v>266</v>
      </c>
      <c r="D215" s="3" t="s">
        <v>267</v>
      </c>
    </row>
    <row r="217">
      <c r="D217" s="3" t="s">
        <v>268</v>
      </c>
    </row>
    <row r="243">
      <c r="B243" s="3" t="s">
        <v>269</v>
      </c>
    </row>
    <row r="244">
      <c r="B244" s="3" t="s">
        <v>270</v>
      </c>
    </row>
    <row r="245">
      <c r="B245" s="3" t="s">
        <v>271</v>
      </c>
      <c r="C245" s="3" t="s">
        <v>272</v>
      </c>
    </row>
    <row r="246">
      <c r="B246" s="3" t="s">
        <v>274</v>
      </c>
    </row>
    <row r="250">
      <c r="B250" s="3" t="s">
        <v>275</v>
      </c>
      <c r="C250" s="3" t="s">
        <v>272</v>
      </c>
    </row>
    <row r="251">
      <c r="B251" s="3" t="s">
        <v>277</v>
      </c>
      <c r="C251" s="3" t="s">
        <v>278</v>
      </c>
    </row>
    <row r="252">
      <c r="B252" s="3" t="s">
        <v>280</v>
      </c>
      <c r="C252" s="3" t="s">
        <v>281</v>
      </c>
    </row>
    <row r="253">
      <c r="B253" s="3" t="s">
        <v>282</v>
      </c>
    </row>
    <row r="255">
      <c r="B255" s="3" t="s">
        <v>283</v>
      </c>
      <c r="C255" s="3" t="s">
        <v>284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0"/>
  <cols>
    <col customWidth="1" min="1" max="1" width="48.78"/>
    <col customWidth="1" min="2" max="7" width="11.44"/>
  </cols>
  <sheetData>
    <row r="9">
      <c r="A9" s="47" t="s">
        <v>235</v>
      </c>
    </row>
    <row r="10">
      <c r="A10" s="48" t="s">
        <v>245</v>
      </c>
      <c r="B10" s="6" t="s">
        <v>249</v>
      </c>
      <c r="C10" s="48" t="s">
        <v>251</v>
      </c>
      <c r="D10" s="48" t="s">
        <v>254</v>
      </c>
      <c r="E10" s="6" t="s">
        <v>256</v>
      </c>
      <c r="F10" s="6" t="s">
        <v>259</v>
      </c>
      <c r="G10" s="6" t="s">
        <v>262</v>
      </c>
      <c r="H10" s="49" t="str">
        <f>IF(COUNTIF(B11:D11,"UP") &gt;= COUNTIF(B11:D11,"DOWN"), "UP", "DOWN")</f>
        <v>UP</v>
      </c>
    </row>
    <row r="11">
      <c r="A11" s="6" t="s">
        <v>273</v>
      </c>
      <c r="B11" s="6" t="s">
        <v>276</v>
      </c>
      <c r="C11" s="6" t="s">
        <v>279</v>
      </c>
      <c r="D11" s="6" t="s">
        <v>279</v>
      </c>
      <c r="E11" s="6" t="s">
        <v>279</v>
      </c>
      <c r="F11" s="6" t="s">
        <v>279</v>
      </c>
      <c r="G11" s="6" t="s">
        <v>279</v>
      </c>
      <c r="H11" s="49">
        <f>IF(B11=H10,3,0)
+IF(C11=H10,2,0)
+IF(D11=H10,1,0)
+IF(E11=H10,1,0)
+IF(F11=H10,0.5,0)
+IF(G11=H10,0.5,0)
</f>
        <v>5</v>
      </c>
    </row>
    <row r="12">
      <c r="A12" s="6" t="s">
        <v>286</v>
      </c>
      <c r="B12" s="6" t="s">
        <v>287</v>
      </c>
      <c r="C12" s="6" t="s">
        <v>287</v>
      </c>
      <c r="D12" s="6" t="s">
        <v>287</v>
      </c>
      <c r="E12" s="6" t="s">
        <v>287</v>
      </c>
      <c r="F12" s="6" t="s">
        <v>287</v>
      </c>
      <c r="G12" s="6" t="s">
        <v>287</v>
      </c>
      <c r="H12" s="49">
        <f>IF(B12="PASS",3,0)
+IF(C12="PASS",2,0)
+IF(D12="PASS",1,0)
+IF(E12="PASS",1,0)
+IF(F12="PASS",0.5,0)
+IF(G12="PASS",0.5,0)
</f>
        <v>0</v>
      </c>
    </row>
    <row r="13">
      <c r="A13" s="6" t="s">
        <v>288</v>
      </c>
      <c r="B13" s="6" t="s">
        <v>287</v>
      </c>
      <c r="C13" s="6" t="s">
        <v>287</v>
      </c>
      <c r="D13" s="51" t="s">
        <v>289</v>
      </c>
      <c r="E13" s="51" t="s">
        <v>289</v>
      </c>
      <c r="F13" s="51" t="s">
        <v>289</v>
      </c>
      <c r="G13" s="51" t="s">
        <v>289</v>
      </c>
      <c r="H13" s="49">
        <f t="shared" ref="H13:H14" si="1">IF(B13="PASS",3,0)
+IF(C13="PASS",2,0)</f>
        <v>0</v>
      </c>
    </row>
    <row r="14">
      <c r="A14" s="6" t="s">
        <v>290</v>
      </c>
      <c r="B14" s="6" t="s">
        <v>287</v>
      </c>
      <c r="C14" s="6" t="s">
        <v>287</v>
      </c>
      <c r="D14" s="51" t="s">
        <v>289</v>
      </c>
      <c r="E14" s="51" t="s">
        <v>289</v>
      </c>
      <c r="F14" s="51" t="s">
        <v>289</v>
      </c>
      <c r="G14" s="51" t="s">
        <v>289</v>
      </c>
      <c r="H14" s="49">
        <f t="shared" si="1"/>
        <v>0</v>
      </c>
    </row>
    <row r="15">
      <c r="A15" s="52" t="s">
        <v>291</v>
      </c>
      <c r="B15" s="53"/>
      <c r="C15" s="53"/>
      <c r="D15" s="53"/>
      <c r="E15" s="53"/>
      <c r="F15" s="53"/>
      <c r="G15" s="22"/>
      <c r="H15" s="49">
        <f>SUM(H11:H14)</f>
        <v>5</v>
      </c>
    </row>
    <row r="16">
      <c r="A16" s="54" t="s">
        <v>292</v>
      </c>
      <c r="B16" s="53"/>
      <c r="C16" s="53"/>
      <c r="D16" s="53"/>
      <c r="E16" s="53"/>
      <c r="F16" s="53"/>
      <c r="G16" s="53"/>
      <c r="H16" s="22"/>
    </row>
    <row r="17">
      <c r="A17" s="48" t="s">
        <v>293</v>
      </c>
      <c r="B17" s="48" t="s">
        <v>254</v>
      </c>
      <c r="C17" s="6" t="s">
        <v>256</v>
      </c>
      <c r="D17" s="6" t="s">
        <v>259</v>
      </c>
      <c r="E17" s="6" t="s">
        <v>262</v>
      </c>
      <c r="F17" s="49"/>
      <c r="G17" s="49"/>
      <c r="H17" s="49"/>
    </row>
    <row r="18">
      <c r="A18" s="6" t="s">
        <v>294</v>
      </c>
      <c r="B18" s="6" t="s">
        <v>287</v>
      </c>
      <c r="C18" s="6" t="s">
        <v>287</v>
      </c>
      <c r="D18" s="51" t="s">
        <v>289</v>
      </c>
      <c r="E18" s="51" t="s">
        <v>289</v>
      </c>
      <c r="F18" s="49"/>
      <c r="G18" s="49"/>
      <c r="H18" s="49">
        <f t="shared" ref="H18:H20" si="2">IF(B18="PASS",2,0)
+IF(C18="PASS",2,0)
</f>
        <v>0</v>
      </c>
    </row>
    <row r="19">
      <c r="A19" s="6" t="s">
        <v>295</v>
      </c>
      <c r="B19" s="6" t="s">
        <v>287</v>
      </c>
      <c r="C19" s="6" t="s">
        <v>287</v>
      </c>
      <c r="D19" s="51" t="s">
        <v>289</v>
      </c>
      <c r="E19" s="51" t="s">
        <v>289</v>
      </c>
      <c r="F19" s="49"/>
      <c r="G19" s="49"/>
      <c r="H19" s="49">
        <f t="shared" si="2"/>
        <v>0</v>
      </c>
    </row>
    <row r="20">
      <c r="A20" s="6" t="s">
        <v>296</v>
      </c>
      <c r="B20" s="6" t="s">
        <v>287</v>
      </c>
      <c r="C20" s="6" t="s">
        <v>287</v>
      </c>
      <c r="D20" s="51" t="s">
        <v>289</v>
      </c>
      <c r="E20" s="51" t="s">
        <v>289</v>
      </c>
      <c r="F20" s="49"/>
      <c r="G20" s="49"/>
      <c r="H20" s="49">
        <f t="shared" si="2"/>
        <v>0</v>
      </c>
    </row>
    <row r="21">
      <c r="A21" s="6" t="s">
        <v>297</v>
      </c>
      <c r="B21" s="6" t="s">
        <v>287</v>
      </c>
      <c r="C21" s="6" t="s">
        <v>287</v>
      </c>
      <c r="D21" s="6" t="s">
        <v>287</v>
      </c>
      <c r="E21" s="6" t="s">
        <v>287</v>
      </c>
      <c r="F21" s="49"/>
      <c r="G21" s="49"/>
      <c r="H21" s="49">
        <f>IF(B21="PASS",2,0)
+IF(C21="PASS",2,0)
+IF(D21="PASS",1,0)
+IF(E21="PASS",1,0)
</f>
        <v>0</v>
      </c>
    </row>
    <row r="22">
      <c r="A22" s="52" t="s">
        <v>291</v>
      </c>
      <c r="B22" s="53"/>
      <c r="C22" s="53"/>
      <c r="D22" s="53"/>
      <c r="E22" s="53"/>
      <c r="F22" s="53"/>
      <c r="G22" s="22"/>
      <c r="H22" s="49">
        <f>SUM(H18:H21)</f>
        <v>0</v>
      </c>
    </row>
    <row r="23">
      <c r="A23" s="58" t="str">
        <f>IF(H15&gt;=25,"S",IF(H15&gt;=22,"A",IF(H15&gt;=18,"B",IF(H15&gt;=14,"C","F"))))
&amp; " + " &amp;
IF(H22&gt;=18,"S",IF(H22&gt;=15,"A",IF(H22&gt;=11,"B",IF(H22&gt;=7,"C","F"))))</f>
        <v>F + F</v>
      </c>
    </row>
    <row r="24">
      <c r="A24" s="59"/>
      <c r="B24" s="59"/>
      <c r="C24" s="59"/>
      <c r="D24" s="59"/>
      <c r="E24" s="59"/>
      <c r="F24" s="59"/>
      <c r="G24" s="59"/>
      <c r="H24" s="59"/>
    </row>
  </sheetData>
  <mergeCells count="5">
    <mergeCell ref="A9:H9"/>
    <mergeCell ref="A15:G15"/>
    <mergeCell ref="A16:H16"/>
    <mergeCell ref="A22:G22"/>
    <mergeCell ref="A23:H23"/>
  </mergeCells>
  <dataValidations>
    <dataValidation type="list" allowBlank="1" showErrorMessage="1" sqref="B11:G11">
      <formula1>"UP,DOWN,Waiting"</formula1>
    </dataValidation>
    <dataValidation type="list" allowBlank="1" showErrorMessage="1" sqref="B12:G12 B13:C14 B18:C20 B21:E21">
      <formula1>"PASS,FAIL,Waiting"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38.44"/>
    <col customWidth="1" min="3" max="3" width="10.11"/>
    <col customWidth="1" min="4" max="6" width="11.44"/>
    <col customWidth="1" min="8" max="8" width="11.44"/>
  </cols>
  <sheetData>
    <row r="3">
      <c r="B3" s="47" t="s">
        <v>235</v>
      </c>
    </row>
    <row r="4">
      <c r="A4" s="56" t="s">
        <v>298</v>
      </c>
      <c r="B4" s="48" t="s">
        <v>245</v>
      </c>
      <c r="C4" s="6" t="s">
        <v>249</v>
      </c>
      <c r="D4" s="48" t="s">
        <v>251</v>
      </c>
      <c r="E4" s="48" t="s">
        <v>254</v>
      </c>
      <c r="F4" s="6" t="s">
        <v>256</v>
      </c>
      <c r="G4" s="6" t="s">
        <v>259</v>
      </c>
      <c r="H4" s="6" t="s">
        <v>262</v>
      </c>
      <c r="I4" s="49" t="str">
        <f>IF(COUNTIF(C5:E5,"UP") &gt;= COUNTIF(C5:E5,"DOWN"), "UP", "DOWN")</f>
        <v>UP</v>
      </c>
    </row>
    <row r="5">
      <c r="A5" s="57"/>
      <c r="B5" s="6" t="s">
        <v>273</v>
      </c>
      <c r="C5" s="6" t="s">
        <v>279</v>
      </c>
      <c r="D5" s="6" t="s">
        <v>279</v>
      </c>
      <c r="E5" s="6" t="s">
        <v>287</v>
      </c>
      <c r="F5" s="6" t="s">
        <v>287</v>
      </c>
      <c r="G5" s="6" t="s">
        <v>287</v>
      </c>
      <c r="H5" s="6" t="s">
        <v>287</v>
      </c>
      <c r="I5" s="49">
        <f>IF(C5=I4,3,0)
+IF(D5=I4,2,0)
+IF(E5=I4,1,0)
+IF(F5=I4,1,0)
+IF(G5=I4,0.5,0)
+IF(H5=I4,0.5,0)
</f>
        <v>5</v>
      </c>
    </row>
    <row r="6">
      <c r="A6" s="57"/>
      <c r="B6" s="6" t="s">
        <v>286</v>
      </c>
      <c r="C6" s="6" t="s">
        <v>287</v>
      </c>
      <c r="D6" s="6" t="s">
        <v>287</v>
      </c>
      <c r="E6" s="6" t="s">
        <v>287</v>
      </c>
      <c r="F6" s="6" t="s">
        <v>287</v>
      </c>
      <c r="G6" s="6" t="s">
        <v>287</v>
      </c>
      <c r="H6" s="6" t="s">
        <v>287</v>
      </c>
      <c r="I6" s="49">
        <f>IF(C6="PASS",3,0)
+IF(D6="PASS",2,0)
+IF(E6="PASS",1,0)
+IF(F6="PASS",1,0)
+IF(G6="PASS",0.5,0)
+IF(H6="PASS",0.5,0)
</f>
        <v>0</v>
      </c>
    </row>
    <row r="7">
      <c r="A7" s="57"/>
      <c r="B7" s="6" t="s">
        <v>288</v>
      </c>
      <c r="C7" s="6" t="s">
        <v>287</v>
      </c>
      <c r="D7" s="6" t="s">
        <v>287</v>
      </c>
      <c r="E7" s="51" t="s">
        <v>289</v>
      </c>
      <c r="F7" s="51" t="s">
        <v>289</v>
      </c>
      <c r="G7" s="51" t="s">
        <v>289</v>
      </c>
      <c r="H7" s="51" t="s">
        <v>289</v>
      </c>
      <c r="I7" s="49">
        <f t="shared" ref="I7:I8" si="1">IF(C7="PASS",3,0)
+IF(D7="PASS",2,0)</f>
        <v>0</v>
      </c>
    </row>
    <row r="8">
      <c r="A8" s="57"/>
      <c r="B8" s="6" t="s">
        <v>290</v>
      </c>
      <c r="C8" s="6" t="s">
        <v>287</v>
      </c>
      <c r="D8" s="6" t="s">
        <v>287</v>
      </c>
      <c r="E8" s="51" t="s">
        <v>289</v>
      </c>
      <c r="F8" s="51" t="s">
        <v>289</v>
      </c>
      <c r="G8" s="51" t="s">
        <v>289</v>
      </c>
      <c r="H8" s="51" t="s">
        <v>289</v>
      </c>
      <c r="I8" s="49">
        <f t="shared" si="1"/>
        <v>0</v>
      </c>
    </row>
    <row r="9">
      <c r="A9" s="57"/>
      <c r="B9" s="52" t="s">
        <v>291</v>
      </c>
      <c r="C9" s="53"/>
      <c r="D9" s="53"/>
      <c r="E9" s="53"/>
      <c r="F9" s="53"/>
      <c r="G9" s="53"/>
      <c r="H9" s="22"/>
      <c r="I9" s="49">
        <f>SUM(I5:I8)</f>
        <v>5</v>
      </c>
    </row>
    <row r="10">
      <c r="A10" s="57"/>
      <c r="B10" s="54" t="s">
        <v>292</v>
      </c>
      <c r="C10" s="53"/>
      <c r="D10" s="53"/>
      <c r="E10" s="53"/>
      <c r="F10" s="53"/>
      <c r="G10" s="53"/>
      <c r="H10" s="53"/>
      <c r="I10" s="22"/>
    </row>
    <row r="11">
      <c r="A11" s="57"/>
      <c r="B11" s="48" t="s">
        <v>293</v>
      </c>
      <c r="C11" s="48" t="s">
        <v>254</v>
      </c>
      <c r="D11" s="6" t="s">
        <v>256</v>
      </c>
      <c r="E11" s="6" t="s">
        <v>259</v>
      </c>
      <c r="F11" s="6" t="s">
        <v>262</v>
      </c>
      <c r="G11" s="49"/>
      <c r="H11" s="49"/>
      <c r="I11" s="49"/>
    </row>
    <row r="12">
      <c r="A12" s="57"/>
      <c r="B12" s="6" t="s">
        <v>294</v>
      </c>
      <c r="C12" s="6" t="s">
        <v>287</v>
      </c>
      <c r="D12" s="6" t="s">
        <v>287</v>
      </c>
      <c r="E12" s="51" t="s">
        <v>289</v>
      </c>
      <c r="F12" s="51" t="s">
        <v>289</v>
      </c>
      <c r="G12" s="49"/>
      <c r="H12" s="49"/>
      <c r="I12" s="49">
        <f t="shared" ref="I12:I14" si="2">IF(C12="PASS",2,0)
+IF(D12="PASS",2,0)
</f>
        <v>0</v>
      </c>
    </row>
    <row r="13">
      <c r="A13" s="57"/>
      <c r="B13" s="6" t="s">
        <v>295</v>
      </c>
      <c r="C13" s="6" t="s">
        <v>287</v>
      </c>
      <c r="D13" s="6" t="s">
        <v>287</v>
      </c>
      <c r="E13" s="51" t="s">
        <v>289</v>
      </c>
      <c r="F13" s="51" t="s">
        <v>289</v>
      </c>
      <c r="G13" s="49"/>
      <c r="H13" s="49"/>
      <c r="I13" s="49">
        <f t="shared" si="2"/>
        <v>0</v>
      </c>
    </row>
    <row r="14">
      <c r="A14" s="57"/>
      <c r="B14" s="6" t="s">
        <v>296</v>
      </c>
      <c r="C14" s="6" t="s">
        <v>287</v>
      </c>
      <c r="D14" s="6" t="s">
        <v>287</v>
      </c>
      <c r="E14" s="51" t="s">
        <v>289</v>
      </c>
      <c r="F14" s="51" t="s">
        <v>289</v>
      </c>
      <c r="G14" s="49"/>
      <c r="H14" s="49"/>
      <c r="I14" s="49">
        <f t="shared" si="2"/>
        <v>0</v>
      </c>
    </row>
    <row r="15">
      <c r="A15" s="57"/>
      <c r="B15" s="6" t="s">
        <v>297</v>
      </c>
      <c r="C15" s="6" t="s">
        <v>287</v>
      </c>
      <c r="D15" s="6" t="s">
        <v>287</v>
      </c>
      <c r="E15" s="6" t="s">
        <v>287</v>
      </c>
      <c r="F15" s="6" t="s">
        <v>287</v>
      </c>
      <c r="G15" s="49"/>
      <c r="H15" s="49"/>
      <c r="I15" s="49">
        <f>IF(C15="PASS",2,0)
+IF(D15="PASS",2,0)
+IF(E15="PASS",1,0)
+IF(F15="PASS",1,0)
</f>
        <v>0</v>
      </c>
    </row>
    <row r="16">
      <c r="A16" s="57"/>
      <c r="B16" s="52" t="s">
        <v>291</v>
      </c>
      <c r="C16" s="53"/>
      <c r="D16" s="53"/>
      <c r="E16" s="53"/>
      <c r="F16" s="53"/>
      <c r="G16" s="53"/>
      <c r="H16" s="22"/>
      <c r="I16" s="49">
        <f>SUM(I12:I15)</f>
        <v>0</v>
      </c>
    </row>
    <row r="17">
      <c r="A17" s="60"/>
      <c r="B17" s="58" t="str">
        <f>IF(I9&gt;=25,"S",IF(I9&gt;=22,"A",IF(I9&gt;=18,"B",IF(I9&gt;=14,"C","F"))))
&amp; " + " &amp;
IF(I16&gt;=18,"S",IF(I16&gt;=15,"A",IF(I16&gt;=11,"B",IF(I16&gt;=7,"C","F"))))</f>
        <v>F + F</v>
      </c>
    </row>
    <row r="21">
      <c r="B21" s="47" t="s">
        <v>235</v>
      </c>
    </row>
    <row r="22">
      <c r="A22" s="56" t="s">
        <v>308</v>
      </c>
      <c r="B22" s="48" t="s">
        <v>245</v>
      </c>
      <c r="C22" s="6" t="s">
        <v>249</v>
      </c>
      <c r="D22" s="48" t="s">
        <v>251</v>
      </c>
      <c r="E22" s="48" t="s">
        <v>254</v>
      </c>
      <c r="F22" s="6" t="s">
        <v>256</v>
      </c>
      <c r="G22" s="6" t="s">
        <v>259</v>
      </c>
      <c r="H22" s="6" t="s">
        <v>262</v>
      </c>
      <c r="I22" s="49" t="str">
        <f>IF(COUNTIF(C23:E23,"UP") &gt;= COUNTIF(C23:E23,"DOWN"), "UP", "DOWN")</f>
        <v>UP</v>
      </c>
    </row>
    <row r="23">
      <c r="A23" s="57"/>
      <c r="B23" s="6" t="s">
        <v>273</v>
      </c>
      <c r="C23" s="6" t="s">
        <v>279</v>
      </c>
      <c r="D23" s="6" t="s">
        <v>279</v>
      </c>
      <c r="E23" s="6" t="s">
        <v>287</v>
      </c>
      <c r="F23" s="6" t="s">
        <v>287</v>
      </c>
      <c r="G23" s="6" t="s">
        <v>287</v>
      </c>
      <c r="H23" s="6" t="s">
        <v>287</v>
      </c>
      <c r="I23" s="49">
        <f>IF(C23=I22,3,0)
+IF(D23=I22,2,0)
+IF(E23=I22,1,0)
+IF(F23=I22,1,0)
+IF(G23=I22,0.5,0)
+IF(H23=I22,0.5,0)
</f>
        <v>5</v>
      </c>
    </row>
    <row r="24">
      <c r="A24" s="57"/>
      <c r="B24" s="6" t="s">
        <v>286</v>
      </c>
      <c r="C24" s="6" t="s">
        <v>287</v>
      </c>
      <c r="D24" s="6" t="s">
        <v>287</v>
      </c>
      <c r="E24" s="6" t="s">
        <v>287</v>
      </c>
      <c r="F24" s="6" t="s">
        <v>287</v>
      </c>
      <c r="G24" s="6" t="s">
        <v>287</v>
      </c>
      <c r="H24" s="6" t="s">
        <v>287</v>
      </c>
      <c r="I24" s="49">
        <f>IF(C24="PASS",3,0)
+IF(D24="PASS",2,0)
+IF(E24="PASS",1,0)
+IF(F24="PASS",1,0)
+IF(G24="PASS",0.5,0)
+IF(H24="PASS",0.5,0)
</f>
        <v>0</v>
      </c>
    </row>
    <row r="25">
      <c r="A25" s="57"/>
      <c r="B25" s="6" t="s">
        <v>288</v>
      </c>
      <c r="C25" s="6" t="s">
        <v>8</v>
      </c>
      <c r="D25" s="6" t="s">
        <v>8</v>
      </c>
      <c r="E25" s="51" t="s">
        <v>289</v>
      </c>
      <c r="F25" s="51" t="s">
        <v>289</v>
      </c>
      <c r="G25" s="51" t="s">
        <v>289</v>
      </c>
      <c r="H25" s="51" t="s">
        <v>289</v>
      </c>
      <c r="I25" s="49">
        <f t="shared" ref="I25:I26" si="3">IF(C25="PASS",3,0)
+IF(D25="PASS",2,0)</f>
        <v>5</v>
      </c>
    </row>
    <row r="26">
      <c r="A26" s="57"/>
      <c r="B26" s="6" t="s">
        <v>290</v>
      </c>
      <c r="C26" s="6" t="s">
        <v>287</v>
      </c>
      <c r="D26" s="6" t="s">
        <v>8</v>
      </c>
      <c r="E26" s="51" t="s">
        <v>289</v>
      </c>
      <c r="F26" s="51" t="s">
        <v>289</v>
      </c>
      <c r="G26" s="51" t="s">
        <v>289</v>
      </c>
      <c r="H26" s="51" t="s">
        <v>289</v>
      </c>
      <c r="I26" s="49">
        <f t="shared" si="3"/>
        <v>2</v>
      </c>
    </row>
    <row r="27">
      <c r="A27" s="57"/>
      <c r="B27" s="52" t="s">
        <v>291</v>
      </c>
      <c r="C27" s="53"/>
      <c r="D27" s="53"/>
      <c r="E27" s="53"/>
      <c r="F27" s="53"/>
      <c r="G27" s="53"/>
      <c r="H27" s="22"/>
      <c r="I27" s="49">
        <f>SUM(I23:I26)</f>
        <v>12</v>
      </c>
    </row>
    <row r="28">
      <c r="A28" s="57"/>
      <c r="B28" s="54" t="s">
        <v>292</v>
      </c>
      <c r="C28" s="53"/>
      <c r="D28" s="53"/>
      <c r="E28" s="53"/>
      <c r="F28" s="53"/>
      <c r="G28" s="53"/>
      <c r="H28" s="53"/>
      <c r="I28" s="22"/>
    </row>
    <row r="29">
      <c r="A29" s="57"/>
      <c r="B29" s="48" t="s">
        <v>293</v>
      </c>
      <c r="C29" s="48" t="s">
        <v>254</v>
      </c>
      <c r="D29" s="6" t="s">
        <v>256</v>
      </c>
      <c r="E29" s="6" t="s">
        <v>259</v>
      </c>
      <c r="F29" s="6" t="s">
        <v>262</v>
      </c>
      <c r="G29" s="49"/>
      <c r="H29" s="49"/>
      <c r="I29" s="49"/>
    </row>
    <row r="30">
      <c r="A30" s="57"/>
      <c r="B30" s="6" t="s">
        <v>294</v>
      </c>
      <c r="C30" s="6" t="s">
        <v>287</v>
      </c>
      <c r="D30" s="6" t="s">
        <v>287</v>
      </c>
      <c r="E30" s="51" t="s">
        <v>289</v>
      </c>
      <c r="F30" s="51" t="s">
        <v>289</v>
      </c>
      <c r="G30" s="49"/>
      <c r="H30" s="49"/>
      <c r="I30" s="49">
        <f t="shared" ref="I30:I32" si="4">IF(C30="PASS",2,0)
+IF(D30="PASS",2,0)
</f>
        <v>0</v>
      </c>
    </row>
    <row r="31">
      <c r="A31" s="57"/>
      <c r="B31" s="6" t="s">
        <v>295</v>
      </c>
      <c r="C31" s="6" t="s">
        <v>287</v>
      </c>
      <c r="D31" s="6" t="s">
        <v>287</v>
      </c>
      <c r="E31" s="51" t="s">
        <v>289</v>
      </c>
      <c r="F31" s="51" t="s">
        <v>289</v>
      </c>
      <c r="G31" s="49"/>
      <c r="H31" s="49"/>
      <c r="I31" s="49">
        <f t="shared" si="4"/>
        <v>0</v>
      </c>
    </row>
    <row r="32">
      <c r="A32" s="57"/>
      <c r="B32" s="6" t="s">
        <v>296</v>
      </c>
      <c r="C32" s="6" t="s">
        <v>287</v>
      </c>
      <c r="D32" s="6" t="s">
        <v>287</v>
      </c>
      <c r="E32" s="51" t="s">
        <v>289</v>
      </c>
      <c r="F32" s="51" t="s">
        <v>289</v>
      </c>
      <c r="G32" s="49"/>
      <c r="H32" s="49"/>
      <c r="I32" s="49">
        <f t="shared" si="4"/>
        <v>0</v>
      </c>
    </row>
    <row r="33">
      <c r="A33" s="57"/>
      <c r="B33" s="6" t="s">
        <v>297</v>
      </c>
      <c r="C33" s="6" t="s">
        <v>287</v>
      </c>
      <c r="D33" s="6" t="s">
        <v>287</v>
      </c>
      <c r="E33" s="6" t="s">
        <v>287</v>
      </c>
      <c r="F33" s="6" t="s">
        <v>287</v>
      </c>
      <c r="G33" s="49"/>
      <c r="H33" s="49"/>
      <c r="I33" s="49">
        <f>IF(C33="PASS",2,0)
+IF(D33="PASS",2,0)
+IF(E33="PASS",1,0)
+IF(F33="PASS",1,0)
</f>
        <v>0</v>
      </c>
    </row>
    <row r="34">
      <c r="A34" s="57"/>
      <c r="B34" s="52" t="s">
        <v>291</v>
      </c>
      <c r="C34" s="53"/>
      <c r="D34" s="53"/>
      <c r="E34" s="53"/>
      <c r="F34" s="53"/>
      <c r="G34" s="53"/>
      <c r="H34" s="22"/>
      <c r="I34" s="49">
        <f>SUM(I30:I33)</f>
        <v>0</v>
      </c>
    </row>
    <row r="35">
      <c r="A35" s="60"/>
      <c r="B35" s="58" t="str">
        <f>IF(I27&gt;=25,"S",IF(I27&gt;=22,"A",IF(I27&gt;=18,"B",IF(I27&gt;=14,"C","F"))))
&amp; " + " &amp;
IF(I34&gt;=18,"S",IF(I34&gt;=15,"A",IF(I34&gt;=11,"B",IF(I34&gt;=7,"C","F"))))</f>
        <v>F + F</v>
      </c>
    </row>
    <row r="38">
      <c r="A38" s="56" t="s">
        <v>327</v>
      </c>
      <c r="B38" s="47" t="s">
        <v>235</v>
      </c>
    </row>
    <row r="39">
      <c r="A39" s="57"/>
      <c r="B39" s="48" t="s">
        <v>245</v>
      </c>
      <c r="C39" s="6" t="s">
        <v>249</v>
      </c>
      <c r="D39" s="48" t="s">
        <v>251</v>
      </c>
      <c r="E39" s="48" t="s">
        <v>254</v>
      </c>
      <c r="F39" s="6" t="s">
        <v>256</v>
      </c>
      <c r="G39" s="6" t="s">
        <v>259</v>
      </c>
      <c r="H39" s="6" t="s">
        <v>262</v>
      </c>
      <c r="I39" s="49" t="str">
        <f>IF(COUNTIF(C40:E40,"UP") &gt;= COUNTIF(C40:E40,"DOWN"), "UP", "DOWN")</f>
        <v>UP</v>
      </c>
    </row>
    <row r="40">
      <c r="A40" s="57"/>
      <c r="B40" s="6" t="s">
        <v>273</v>
      </c>
      <c r="C40" s="6" t="s">
        <v>279</v>
      </c>
      <c r="D40" s="6" t="s">
        <v>279</v>
      </c>
      <c r="E40" s="6" t="s">
        <v>287</v>
      </c>
      <c r="F40" s="6" t="s">
        <v>287</v>
      </c>
      <c r="G40" s="6" t="s">
        <v>287</v>
      </c>
      <c r="H40" s="6" t="s">
        <v>287</v>
      </c>
      <c r="I40" s="49">
        <f>IF(C40=I39,3,0)
+IF(D40=I39,2,0)
+IF(E40=I39,1,0)
+IF(F40=I39,1,0)
+IF(G40=I39,0.5,0)
+IF(H40=I39,0.5,0)
</f>
        <v>5</v>
      </c>
    </row>
    <row r="41">
      <c r="A41" s="57"/>
      <c r="B41" s="6" t="s">
        <v>286</v>
      </c>
      <c r="C41" s="6" t="s">
        <v>287</v>
      </c>
      <c r="D41" s="6" t="s">
        <v>287</v>
      </c>
      <c r="E41" s="6" t="s">
        <v>287</v>
      </c>
      <c r="F41" s="6" t="s">
        <v>287</v>
      </c>
      <c r="G41" s="6" t="s">
        <v>287</v>
      </c>
      <c r="H41" s="6" t="s">
        <v>287</v>
      </c>
      <c r="I41" s="49">
        <f>IF(C41="PASS",3,0)
+IF(D41="PASS",2,0)
+IF(E41="PASS",1,0)
+IF(F41="PASS",1,0)
+IF(G41="PASS",0.5,0)
+IF(H41="PASS",0.5,0)
</f>
        <v>0</v>
      </c>
    </row>
    <row r="42">
      <c r="A42" s="57"/>
      <c r="B42" s="6" t="s">
        <v>288</v>
      </c>
      <c r="C42" s="6" t="s">
        <v>287</v>
      </c>
      <c r="D42" s="6" t="s">
        <v>287</v>
      </c>
      <c r="E42" s="51" t="s">
        <v>289</v>
      </c>
      <c r="F42" s="51" t="s">
        <v>289</v>
      </c>
      <c r="G42" s="51" t="s">
        <v>289</v>
      </c>
      <c r="H42" s="51" t="s">
        <v>289</v>
      </c>
      <c r="I42" s="49">
        <f t="shared" ref="I42:I43" si="5">IF(C42="PASS",3,0)
+IF(D42="PASS",2,0)</f>
        <v>0</v>
      </c>
    </row>
    <row r="43">
      <c r="A43" s="57"/>
      <c r="B43" s="6" t="s">
        <v>290</v>
      </c>
      <c r="C43" s="6" t="s">
        <v>287</v>
      </c>
      <c r="D43" s="6" t="s">
        <v>287</v>
      </c>
      <c r="E43" s="51" t="s">
        <v>289</v>
      </c>
      <c r="F43" s="51" t="s">
        <v>289</v>
      </c>
      <c r="G43" s="51" t="s">
        <v>289</v>
      </c>
      <c r="H43" s="51" t="s">
        <v>289</v>
      </c>
      <c r="I43" s="49">
        <f t="shared" si="5"/>
        <v>0</v>
      </c>
    </row>
    <row r="44">
      <c r="A44" s="57"/>
      <c r="B44" s="52" t="s">
        <v>291</v>
      </c>
      <c r="C44" s="53"/>
      <c r="D44" s="53"/>
      <c r="E44" s="53"/>
      <c r="F44" s="53"/>
      <c r="G44" s="53"/>
      <c r="H44" s="22"/>
      <c r="I44" s="49">
        <f>SUM(I40:I43)</f>
        <v>5</v>
      </c>
    </row>
    <row r="45">
      <c r="A45" s="57"/>
      <c r="B45" s="54" t="s">
        <v>292</v>
      </c>
      <c r="C45" s="53"/>
      <c r="D45" s="53"/>
      <c r="E45" s="53"/>
      <c r="F45" s="53"/>
      <c r="G45" s="53"/>
      <c r="H45" s="53"/>
      <c r="I45" s="22"/>
    </row>
    <row r="46">
      <c r="A46" s="57"/>
      <c r="B46" s="48" t="s">
        <v>293</v>
      </c>
      <c r="C46" s="48" t="s">
        <v>254</v>
      </c>
      <c r="D46" s="6" t="s">
        <v>256</v>
      </c>
      <c r="E46" s="6" t="s">
        <v>259</v>
      </c>
      <c r="F46" s="6" t="s">
        <v>262</v>
      </c>
      <c r="G46" s="49"/>
      <c r="H46" s="49"/>
      <c r="I46" s="49"/>
    </row>
    <row r="47">
      <c r="A47" s="57"/>
      <c r="B47" s="6" t="s">
        <v>294</v>
      </c>
      <c r="C47" s="6" t="s">
        <v>287</v>
      </c>
      <c r="D47" s="6" t="s">
        <v>287</v>
      </c>
      <c r="E47" s="51" t="s">
        <v>289</v>
      </c>
      <c r="F47" s="51" t="s">
        <v>289</v>
      </c>
      <c r="G47" s="49"/>
      <c r="H47" s="49"/>
      <c r="I47" s="49">
        <f t="shared" ref="I47:I49" si="6">IF(C47="PASS",2,0)
+IF(D47="PASS",2,0)
</f>
        <v>0</v>
      </c>
    </row>
    <row r="48">
      <c r="A48" s="57"/>
      <c r="B48" s="6" t="s">
        <v>295</v>
      </c>
      <c r="C48" s="6" t="s">
        <v>287</v>
      </c>
      <c r="D48" s="6" t="s">
        <v>287</v>
      </c>
      <c r="E48" s="51" t="s">
        <v>289</v>
      </c>
      <c r="F48" s="51" t="s">
        <v>289</v>
      </c>
      <c r="G48" s="49"/>
      <c r="H48" s="49"/>
      <c r="I48" s="49">
        <f t="shared" si="6"/>
        <v>0</v>
      </c>
    </row>
    <row r="49">
      <c r="A49" s="57"/>
      <c r="B49" s="6" t="s">
        <v>296</v>
      </c>
      <c r="C49" s="6" t="s">
        <v>287</v>
      </c>
      <c r="D49" s="6" t="s">
        <v>287</v>
      </c>
      <c r="E49" s="51" t="s">
        <v>289</v>
      </c>
      <c r="F49" s="51" t="s">
        <v>289</v>
      </c>
      <c r="G49" s="49"/>
      <c r="H49" s="49"/>
      <c r="I49" s="49">
        <f t="shared" si="6"/>
        <v>0</v>
      </c>
    </row>
    <row r="50">
      <c r="A50" s="57"/>
      <c r="B50" s="6" t="s">
        <v>297</v>
      </c>
      <c r="C50" s="6" t="s">
        <v>287</v>
      </c>
      <c r="D50" s="6" t="s">
        <v>287</v>
      </c>
      <c r="E50" s="6" t="s">
        <v>287</v>
      </c>
      <c r="F50" s="6" t="s">
        <v>287</v>
      </c>
      <c r="G50" s="49"/>
      <c r="H50" s="49"/>
      <c r="I50" s="49">
        <f>IF(C50="PASS",2,0)
+IF(D50="PASS",2,0)
+IF(E50="PASS",1,0)
+IF(F50="PASS",1,0)
</f>
        <v>0</v>
      </c>
    </row>
    <row r="51">
      <c r="A51" s="57"/>
      <c r="B51" s="52" t="s">
        <v>291</v>
      </c>
      <c r="C51" s="53"/>
      <c r="D51" s="53"/>
      <c r="E51" s="53"/>
      <c r="F51" s="53"/>
      <c r="G51" s="53"/>
      <c r="H51" s="22"/>
      <c r="I51" s="49">
        <f>SUM(I47:I50)</f>
        <v>0</v>
      </c>
    </row>
    <row r="52">
      <c r="A52" s="60"/>
      <c r="B52" s="58" t="str">
        <f>IF(I44&gt;=25,"S",IF(I44&gt;=22,"A",IF(I44&gt;=18,"B",IF(I44&gt;=14,"C","F"))))
&amp; " + " &amp;
IF(I51&gt;=18,"S",IF(I51&gt;=15,"A",IF(I51&gt;=11,"B",IF(I51&gt;=7,"C","F"))))</f>
        <v>F + F</v>
      </c>
    </row>
    <row r="55">
      <c r="A55" s="56" t="s">
        <v>329</v>
      </c>
      <c r="B55" s="47" t="s">
        <v>235</v>
      </c>
    </row>
    <row r="56">
      <c r="A56" s="57"/>
      <c r="B56" s="48" t="s">
        <v>245</v>
      </c>
      <c r="C56" s="6" t="s">
        <v>249</v>
      </c>
      <c r="D56" s="48" t="s">
        <v>251</v>
      </c>
      <c r="E56" s="48" t="s">
        <v>254</v>
      </c>
      <c r="F56" s="6" t="s">
        <v>256</v>
      </c>
      <c r="G56" s="6" t="s">
        <v>259</v>
      </c>
      <c r="H56" s="6" t="s">
        <v>262</v>
      </c>
      <c r="I56" s="49" t="str">
        <f>IF(COUNTIF(C57:E57,"UP") &gt;= COUNTIF(C57:E57,"DOWN"), "UP", "DOWN")</f>
        <v>UP</v>
      </c>
    </row>
    <row r="57">
      <c r="A57" s="57"/>
      <c r="B57" s="6" t="s">
        <v>273</v>
      </c>
      <c r="C57" s="6" t="s">
        <v>279</v>
      </c>
      <c r="D57" s="6" t="s">
        <v>276</v>
      </c>
      <c r="E57" s="6" t="s">
        <v>287</v>
      </c>
      <c r="F57" s="6" t="s">
        <v>287</v>
      </c>
      <c r="G57" s="6" t="s">
        <v>287</v>
      </c>
      <c r="H57" s="6" t="s">
        <v>287</v>
      </c>
      <c r="I57" s="49">
        <f>IF(C57=I56,3,0)
+IF(D57=I56,2,0)
+IF(E57=I56,1,0)
+IF(F57=I56,1,0)
+IF(G57=I56,0.5,0)
+IF(H57=I56,0.5,0)
</f>
        <v>3</v>
      </c>
    </row>
    <row r="58">
      <c r="A58" s="57"/>
      <c r="B58" s="6" t="s">
        <v>286</v>
      </c>
      <c r="C58" s="6" t="s">
        <v>287</v>
      </c>
      <c r="D58" s="6" t="s">
        <v>287</v>
      </c>
      <c r="E58" s="6" t="s">
        <v>287</v>
      </c>
      <c r="F58" s="6" t="s">
        <v>287</v>
      </c>
      <c r="G58" s="6" t="s">
        <v>287</v>
      </c>
      <c r="H58" s="6" t="s">
        <v>287</v>
      </c>
      <c r="I58" s="49">
        <f>IF(C58="PASS",3,0)
+IF(D58="PASS",2,0)
+IF(E58="PASS",1,0)
+IF(F58="PASS",1,0)
+IF(G58="PASS",0.5,0)
+IF(H58="PASS",0.5,0)
</f>
        <v>0</v>
      </c>
    </row>
    <row r="59">
      <c r="A59" s="57"/>
      <c r="B59" s="6" t="s">
        <v>288</v>
      </c>
      <c r="C59" s="6" t="s">
        <v>8</v>
      </c>
      <c r="D59" s="6" t="s">
        <v>8</v>
      </c>
      <c r="E59" s="51" t="s">
        <v>289</v>
      </c>
      <c r="F59" s="51" t="s">
        <v>289</v>
      </c>
      <c r="G59" s="51" t="s">
        <v>289</v>
      </c>
      <c r="H59" s="51" t="s">
        <v>289</v>
      </c>
      <c r="I59" s="49">
        <f t="shared" ref="I59:I60" si="7">IF(C59="PASS",3,0)
+IF(D59="PASS",2,0)</f>
        <v>5</v>
      </c>
    </row>
    <row r="60">
      <c r="A60" s="57"/>
      <c r="B60" s="6" t="s">
        <v>290</v>
      </c>
      <c r="C60" s="6" t="s">
        <v>287</v>
      </c>
      <c r="D60" s="6" t="s">
        <v>8</v>
      </c>
      <c r="E60" s="51" t="s">
        <v>289</v>
      </c>
      <c r="F60" s="51" t="s">
        <v>289</v>
      </c>
      <c r="G60" s="51" t="s">
        <v>289</v>
      </c>
      <c r="H60" s="51" t="s">
        <v>289</v>
      </c>
      <c r="I60" s="49">
        <f t="shared" si="7"/>
        <v>2</v>
      </c>
    </row>
    <row r="61">
      <c r="A61" s="57"/>
      <c r="B61" s="52" t="s">
        <v>291</v>
      </c>
      <c r="C61" s="53"/>
      <c r="D61" s="53"/>
      <c r="E61" s="53"/>
      <c r="F61" s="53"/>
      <c r="G61" s="53"/>
      <c r="H61" s="22"/>
      <c r="I61" s="49">
        <f>SUM(I57:I60)</f>
        <v>10</v>
      </c>
    </row>
    <row r="62">
      <c r="A62" s="57"/>
      <c r="B62" s="54" t="s">
        <v>292</v>
      </c>
      <c r="C62" s="53"/>
      <c r="D62" s="53"/>
      <c r="E62" s="53"/>
      <c r="F62" s="53"/>
      <c r="G62" s="53"/>
      <c r="H62" s="53"/>
      <c r="I62" s="22"/>
    </row>
    <row r="63">
      <c r="A63" s="57"/>
      <c r="B63" s="48" t="s">
        <v>293</v>
      </c>
      <c r="C63" s="48" t="s">
        <v>254</v>
      </c>
      <c r="D63" s="6" t="s">
        <v>256</v>
      </c>
      <c r="E63" s="6" t="s">
        <v>259</v>
      </c>
      <c r="F63" s="6" t="s">
        <v>262</v>
      </c>
      <c r="G63" s="49"/>
      <c r="H63" s="49"/>
      <c r="I63" s="49"/>
    </row>
    <row r="64">
      <c r="A64" s="57"/>
      <c r="B64" s="6" t="s">
        <v>294</v>
      </c>
      <c r="C64" s="6" t="s">
        <v>287</v>
      </c>
      <c r="D64" s="6" t="s">
        <v>287</v>
      </c>
      <c r="E64" s="51" t="s">
        <v>289</v>
      </c>
      <c r="F64" s="51" t="s">
        <v>289</v>
      </c>
      <c r="G64" s="49"/>
      <c r="H64" s="49"/>
      <c r="I64" s="49">
        <f t="shared" ref="I64:I66" si="8">IF(C64="PASS",2,0)
+IF(D64="PASS",2,0)
</f>
        <v>0</v>
      </c>
    </row>
    <row r="65">
      <c r="A65" s="57"/>
      <c r="B65" s="6" t="s">
        <v>295</v>
      </c>
      <c r="C65" s="6" t="s">
        <v>287</v>
      </c>
      <c r="D65" s="6" t="s">
        <v>287</v>
      </c>
      <c r="E65" s="51" t="s">
        <v>289</v>
      </c>
      <c r="F65" s="51" t="s">
        <v>289</v>
      </c>
      <c r="G65" s="49"/>
      <c r="H65" s="49"/>
      <c r="I65" s="49">
        <f t="shared" si="8"/>
        <v>0</v>
      </c>
    </row>
    <row r="66">
      <c r="A66" s="57"/>
      <c r="B66" s="6" t="s">
        <v>296</v>
      </c>
      <c r="C66" s="6" t="s">
        <v>287</v>
      </c>
      <c r="D66" s="6" t="s">
        <v>287</v>
      </c>
      <c r="E66" s="51" t="s">
        <v>289</v>
      </c>
      <c r="F66" s="51" t="s">
        <v>289</v>
      </c>
      <c r="G66" s="49"/>
      <c r="H66" s="49"/>
      <c r="I66" s="49">
        <f t="shared" si="8"/>
        <v>0</v>
      </c>
    </row>
    <row r="67">
      <c r="A67" s="57"/>
      <c r="B67" s="6" t="s">
        <v>297</v>
      </c>
      <c r="C67" s="6" t="s">
        <v>287</v>
      </c>
      <c r="D67" s="6" t="s">
        <v>287</v>
      </c>
      <c r="E67" s="6" t="s">
        <v>287</v>
      </c>
      <c r="F67" s="6" t="s">
        <v>287</v>
      </c>
      <c r="G67" s="49"/>
      <c r="H67" s="49"/>
      <c r="I67" s="49">
        <f>IF(C67="PASS",2,0)
+IF(D67="PASS",2,0)
+IF(E67="PASS",1,0)
+IF(F67="PASS",1,0)
</f>
        <v>0</v>
      </c>
    </row>
    <row r="68">
      <c r="A68" s="57"/>
      <c r="B68" s="52" t="s">
        <v>291</v>
      </c>
      <c r="C68" s="53"/>
      <c r="D68" s="53"/>
      <c r="E68" s="53"/>
      <c r="F68" s="53"/>
      <c r="G68" s="53"/>
      <c r="H68" s="22"/>
      <c r="I68" s="49">
        <f>SUM(I64:I67)</f>
        <v>0</v>
      </c>
    </row>
    <row r="69">
      <c r="A69" s="60"/>
      <c r="B69" s="58" t="str">
        <f>IF(I61&gt;=25,"S",IF(I61&gt;=22,"A",IF(I61&gt;=18,"B",IF(I61&gt;=14,"C","F"))))
&amp; " + " &amp;
IF(I68&gt;=18,"S",IF(I68&gt;=15,"A",IF(I68&gt;=11,"B",IF(I68&gt;=7,"C","F"))))</f>
        <v>F + F</v>
      </c>
    </row>
    <row r="72">
      <c r="A72" s="56" t="s">
        <v>333</v>
      </c>
      <c r="B72" s="47" t="s">
        <v>235</v>
      </c>
    </row>
    <row r="73">
      <c r="A73" s="57"/>
      <c r="B73" s="48" t="s">
        <v>245</v>
      </c>
      <c r="C73" s="6" t="s">
        <v>249</v>
      </c>
      <c r="D73" s="48" t="s">
        <v>251</v>
      </c>
      <c r="E73" s="48" t="s">
        <v>254</v>
      </c>
      <c r="F73" s="6" t="s">
        <v>256</v>
      </c>
      <c r="G73" s="6" t="s">
        <v>259</v>
      </c>
      <c r="H73" s="6" t="s">
        <v>262</v>
      </c>
      <c r="I73" s="49" t="str">
        <f>IF(COUNTIF(C74:E74,"UP") &gt;= COUNTIF(C74:E74,"DOWN"), "UP", "DOWN")</f>
        <v>UP</v>
      </c>
    </row>
    <row r="74">
      <c r="A74" s="57"/>
      <c r="B74" s="6" t="s">
        <v>273</v>
      </c>
      <c r="C74" s="6" t="s">
        <v>279</v>
      </c>
      <c r="D74" s="6" t="s">
        <v>279</v>
      </c>
      <c r="E74" s="6" t="s">
        <v>287</v>
      </c>
      <c r="F74" s="6" t="s">
        <v>287</v>
      </c>
      <c r="G74" s="6" t="s">
        <v>287</v>
      </c>
      <c r="H74" s="6" t="s">
        <v>287</v>
      </c>
      <c r="I74" s="49">
        <f>IF(C74=I73,3,0)
+IF(D74=I73,2,0)
+IF(E74=I73,1,0)
+IF(F74=I73,1,0)
+IF(G74=I73,0.5,0)
+IF(H74=I73,0.5,0)
</f>
        <v>5</v>
      </c>
    </row>
    <row r="75">
      <c r="A75" s="57"/>
      <c r="B75" s="6" t="s">
        <v>286</v>
      </c>
      <c r="C75" s="6" t="s">
        <v>287</v>
      </c>
      <c r="D75" s="6" t="s">
        <v>287</v>
      </c>
      <c r="E75" s="6" t="s">
        <v>287</v>
      </c>
      <c r="F75" s="6" t="s">
        <v>287</v>
      </c>
      <c r="G75" s="6" t="s">
        <v>287</v>
      </c>
      <c r="H75" s="6" t="s">
        <v>287</v>
      </c>
      <c r="I75" s="49">
        <f>IF(C75="PASS",3,0)
+IF(D75="PASS",2,0)
+IF(E75="PASS",1,0)
+IF(F75="PASS",1,0)
+IF(G75="PASS",0.5,0)
+IF(H75="PASS",0.5,0)
</f>
        <v>0</v>
      </c>
    </row>
    <row r="76">
      <c r="A76" s="57"/>
      <c r="B76" s="6" t="s">
        <v>288</v>
      </c>
      <c r="C76" s="6" t="s">
        <v>287</v>
      </c>
      <c r="D76" s="6" t="s">
        <v>287</v>
      </c>
      <c r="E76" s="51" t="s">
        <v>289</v>
      </c>
      <c r="F76" s="51" t="s">
        <v>289</v>
      </c>
      <c r="G76" s="51" t="s">
        <v>289</v>
      </c>
      <c r="H76" s="51" t="s">
        <v>289</v>
      </c>
      <c r="I76" s="49">
        <f t="shared" ref="I76:I77" si="9">IF(C76="PASS",3,0)
+IF(D76="PASS",2,0)</f>
        <v>0</v>
      </c>
    </row>
    <row r="77">
      <c r="A77" s="57"/>
      <c r="B77" s="6" t="s">
        <v>290</v>
      </c>
      <c r="C77" s="6" t="s">
        <v>287</v>
      </c>
      <c r="D77" s="6" t="s">
        <v>287</v>
      </c>
      <c r="E77" s="51" t="s">
        <v>289</v>
      </c>
      <c r="F77" s="51" t="s">
        <v>289</v>
      </c>
      <c r="G77" s="51" t="s">
        <v>289</v>
      </c>
      <c r="H77" s="51" t="s">
        <v>289</v>
      </c>
      <c r="I77" s="49">
        <f t="shared" si="9"/>
        <v>0</v>
      </c>
    </row>
    <row r="78">
      <c r="A78" s="57"/>
      <c r="B78" s="52" t="s">
        <v>291</v>
      </c>
      <c r="C78" s="53"/>
      <c r="D78" s="53"/>
      <c r="E78" s="53"/>
      <c r="F78" s="53"/>
      <c r="G78" s="53"/>
      <c r="H78" s="22"/>
      <c r="I78" s="49">
        <f>SUM(I74:I77)</f>
        <v>5</v>
      </c>
    </row>
    <row r="79">
      <c r="A79" s="57"/>
      <c r="B79" s="54" t="s">
        <v>292</v>
      </c>
      <c r="C79" s="53"/>
      <c r="D79" s="53"/>
      <c r="E79" s="53"/>
      <c r="F79" s="53"/>
      <c r="G79" s="53"/>
      <c r="H79" s="53"/>
      <c r="I79" s="22"/>
    </row>
    <row r="80">
      <c r="A80" s="57"/>
      <c r="B80" s="48" t="s">
        <v>293</v>
      </c>
      <c r="C80" s="48" t="s">
        <v>254</v>
      </c>
      <c r="D80" s="6" t="s">
        <v>256</v>
      </c>
      <c r="E80" s="6" t="s">
        <v>259</v>
      </c>
      <c r="F80" s="6" t="s">
        <v>262</v>
      </c>
      <c r="G80" s="49"/>
      <c r="H80" s="49"/>
      <c r="I80" s="49"/>
    </row>
    <row r="81">
      <c r="A81" s="57"/>
      <c r="B81" s="6" t="s">
        <v>294</v>
      </c>
      <c r="C81" s="6" t="s">
        <v>287</v>
      </c>
      <c r="D81" s="6" t="s">
        <v>287</v>
      </c>
      <c r="E81" s="51" t="s">
        <v>289</v>
      </c>
      <c r="F81" s="51" t="s">
        <v>289</v>
      </c>
      <c r="G81" s="49"/>
      <c r="H81" s="49"/>
      <c r="I81" s="49">
        <f t="shared" ref="I81:I83" si="10">IF(C81="PASS",2,0)
+IF(D81="PASS",2,0)
</f>
        <v>0</v>
      </c>
    </row>
    <row r="82">
      <c r="A82" s="57"/>
      <c r="B82" s="6" t="s">
        <v>295</v>
      </c>
      <c r="C82" s="6" t="s">
        <v>287</v>
      </c>
      <c r="D82" s="6" t="s">
        <v>287</v>
      </c>
      <c r="E82" s="51" t="s">
        <v>289</v>
      </c>
      <c r="F82" s="51" t="s">
        <v>289</v>
      </c>
      <c r="G82" s="49"/>
      <c r="H82" s="49"/>
      <c r="I82" s="49">
        <f t="shared" si="10"/>
        <v>0</v>
      </c>
    </row>
    <row r="83">
      <c r="A83" s="57"/>
      <c r="B83" s="6" t="s">
        <v>296</v>
      </c>
      <c r="C83" s="6" t="s">
        <v>287</v>
      </c>
      <c r="D83" s="6" t="s">
        <v>287</v>
      </c>
      <c r="E83" s="51" t="s">
        <v>289</v>
      </c>
      <c r="F83" s="51" t="s">
        <v>289</v>
      </c>
      <c r="G83" s="49"/>
      <c r="H83" s="49"/>
      <c r="I83" s="49">
        <f t="shared" si="10"/>
        <v>0</v>
      </c>
    </row>
    <row r="84">
      <c r="A84" s="57"/>
      <c r="B84" s="6" t="s">
        <v>297</v>
      </c>
      <c r="C84" s="6" t="s">
        <v>287</v>
      </c>
      <c r="D84" s="6" t="s">
        <v>287</v>
      </c>
      <c r="E84" s="6" t="s">
        <v>287</v>
      </c>
      <c r="F84" s="6" t="s">
        <v>287</v>
      </c>
      <c r="G84" s="49"/>
      <c r="H84" s="49"/>
      <c r="I84" s="49">
        <f>IF(C84="PASS",2,0)
+IF(D84="PASS",2,0)
+IF(E84="PASS",1,0)
+IF(F84="PASS",1,0)
</f>
        <v>0</v>
      </c>
    </row>
    <row r="85">
      <c r="A85" s="57"/>
      <c r="B85" s="52" t="s">
        <v>291</v>
      </c>
      <c r="C85" s="53"/>
      <c r="D85" s="53"/>
      <c r="E85" s="53"/>
      <c r="F85" s="53"/>
      <c r="G85" s="53"/>
      <c r="H85" s="22"/>
      <c r="I85" s="49">
        <f>SUM(I81:I84)</f>
        <v>0</v>
      </c>
    </row>
    <row r="86">
      <c r="A86" s="60"/>
      <c r="B86" s="58" t="str">
        <f>IF(I78&gt;=25,"S",IF(I78&gt;=22,"A",IF(I78&gt;=18,"B",IF(I78&gt;=14,"C","F"))))
&amp; " + " &amp;
IF(I85&gt;=18,"S",IF(I85&gt;=15,"A",IF(I85&gt;=11,"B",IF(I85&gt;=7,"C","F"))))</f>
        <v>F + F</v>
      </c>
    </row>
    <row r="89">
      <c r="A89" s="56" t="s">
        <v>345</v>
      </c>
      <c r="B89" s="47" t="s">
        <v>235</v>
      </c>
    </row>
    <row r="90">
      <c r="A90" s="57"/>
      <c r="B90" s="48" t="s">
        <v>245</v>
      </c>
      <c r="C90" s="6" t="s">
        <v>249</v>
      </c>
      <c r="D90" s="48" t="s">
        <v>251</v>
      </c>
      <c r="E90" s="48" t="s">
        <v>254</v>
      </c>
      <c r="F90" s="6" t="s">
        <v>256</v>
      </c>
      <c r="G90" s="6" t="s">
        <v>259</v>
      </c>
      <c r="H90" s="6" t="s">
        <v>262</v>
      </c>
      <c r="I90" s="49" t="str">
        <f>IF(COUNTIF(C91:E91,"UP") &gt;= COUNTIF(C91:E91,"DOWN"), "UP", "DOWN")</f>
        <v>UP</v>
      </c>
    </row>
    <row r="91">
      <c r="A91" s="57"/>
      <c r="B91" s="6" t="s">
        <v>273</v>
      </c>
      <c r="C91" s="6" t="s">
        <v>279</v>
      </c>
      <c r="D91" s="6" t="s">
        <v>279</v>
      </c>
      <c r="E91" s="6" t="s">
        <v>287</v>
      </c>
      <c r="F91" s="6" t="s">
        <v>287</v>
      </c>
      <c r="G91" s="6" t="s">
        <v>287</v>
      </c>
      <c r="H91" s="6" t="s">
        <v>287</v>
      </c>
      <c r="I91" s="49">
        <f>IF(C91=I90,3,0)
+IF(D91=I90,2,0)
+IF(E91=I90,1,0)
+IF(F91=I90,1,0)
+IF(G91=I90,0.5,0)
+IF(H91=I90,0.5,0)
</f>
        <v>5</v>
      </c>
    </row>
    <row r="92">
      <c r="A92" s="57"/>
      <c r="B92" s="6" t="s">
        <v>286</v>
      </c>
      <c r="C92" s="6" t="s">
        <v>287</v>
      </c>
      <c r="D92" s="6" t="s">
        <v>287</v>
      </c>
      <c r="E92" s="6" t="s">
        <v>287</v>
      </c>
      <c r="F92" s="6" t="s">
        <v>287</v>
      </c>
      <c r="G92" s="6" t="s">
        <v>287</v>
      </c>
      <c r="H92" s="6" t="s">
        <v>287</v>
      </c>
      <c r="I92" s="49">
        <f>IF(C92="PASS",3,0)
+IF(D92="PASS",2,0)
+IF(E92="PASS",1,0)
+IF(F92="PASS",1,0)
+IF(G92="PASS",0.5,0)
+IF(H92="PASS",0.5,0)
</f>
        <v>0</v>
      </c>
    </row>
    <row r="93">
      <c r="A93" s="57"/>
      <c r="B93" s="6" t="s">
        <v>288</v>
      </c>
      <c r="C93" s="6" t="s">
        <v>287</v>
      </c>
      <c r="D93" s="6" t="s">
        <v>287</v>
      </c>
      <c r="E93" s="51" t="s">
        <v>289</v>
      </c>
      <c r="F93" s="51" t="s">
        <v>289</v>
      </c>
      <c r="G93" s="51" t="s">
        <v>289</v>
      </c>
      <c r="H93" s="51" t="s">
        <v>289</v>
      </c>
      <c r="I93" s="49">
        <f t="shared" ref="I93:I94" si="11">IF(C93="PASS",3,0)
+IF(D93="PASS",2,0)</f>
        <v>0</v>
      </c>
    </row>
    <row r="94">
      <c r="A94" s="57"/>
      <c r="B94" s="6" t="s">
        <v>290</v>
      </c>
      <c r="C94" s="6" t="s">
        <v>287</v>
      </c>
      <c r="D94" s="6" t="s">
        <v>287</v>
      </c>
      <c r="E94" s="51" t="s">
        <v>289</v>
      </c>
      <c r="F94" s="51" t="s">
        <v>289</v>
      </c>
      <c r="G94" s="51" t="s">
        <v>289</v>
      </c>
      <c r="H94" s="51" t="s">
        <v>289</v>
      </c>
      <c r="I94" s="49">
        <f t="shared" si="11"/>
        <v>0</v>
      </c>
    </row>
    <row r="95">
      <c r="A95" s="57"/>
      <c r="B95" s="52" t="s">
        <v>291</v>
      </c>
      <c r="C95" s="53"/>
      <c r="D95" s="53"/>
      <c r="E95" s="53"/>
      <c r="F95" s="53"/>
      <c r="G95" s="53"/>
      <c r="H95" s="22"/>
      <c r="I95" s="49">
        <f>SUM(I91:I94)</f>
        <v>5</v>
      </c>
    </row>
    <row r="96">
      <c r="A96" s="57"/>
      <c r="B96" s="54" t="s">
        <v>292</v>
      </c>
      <c r="C96" s="53"/>
      <c r="D96" s="53"/>
      <c r="E96" s="53"/>
      <c r="F96" s="53"/>
      <c r="G96" s="53"/>
      <c r="H96" s="53"/>
      <c r="I96" s="22"/>
    </row>
    <row r="97">
      <c r="A97" s="57"/>
      <c r="B97" s="48" t="s">
        <v>293</v>
      </c>
      <c r="C97" s="48" t="s">
        <v>254</v>
      </c>
      <c r="D97" s="6" t="s">
        <v>256</v>
      </c>
      <c r="E97" s="6" t="s">
        <v>259</v>
      </c>
      <c r="F97" s="6" t="s">
        <v>262</v>
      </c>
      <c r="G97" s="49"/>
      <c r="H97" s="49"/>
      <c r="I97" s="49"/>
    </row>
    <row r="98">
      <c r="A98" s="57"/>
      <c r="B98" s="6" t="s">
        <v>294</v>
      </c>
      <c r="C98" s="6" t="s">
        <v>287</v>
      </c>
      <c r="D98" s="6" t="s">
        <v>287</v>
      </c>
      <c r="E98" s="51" t="s">
        <v>289</v>
      </c>
      <c r="F98" s="51" t="s">
        <v>289</v>
      </c>
      <c r="G98" s="49"/>
      <c r="H98" s="49"/>
      <c r="I98" s="49">
        <f t="shared" ref="I98:I100" si="12">IF(C98="PASS",2,0)
+IF(D98="PASS",2,0)
</f>
        <v>0</v>
      </c>
    </row>
    <row r="99">
      <c r="A99" s="57"/>
      <c r="B99" s="6" t="s">
        <v>295</v>
      </c>
      <c r="C99" s="6" t="s">
        <v>287</v>
      </c>
      <c r="D99" s="6" t="s">
        <v>287</v>
      </c>
      <c r="E99" s="51" t="s">
        <v>289</v>
      </c>
      <c r="F99" s="51" t="s">
        <v>289</v>
      </c>
      <c r="G99" s="49"/>
      <c r="H99" s="49"/>
      <c r="I99" s="49">
        <f t="shared" si="12"/>
        <v>0</v>
      </c>
    </row>
    <row r="100">
      <c r="A100" s="57"/>
      <c r="B100" s="6" t="s">
        <v>296</v>
      </c>
      <c r="C100" s="6" t="s">
        <v>287</v>
      </c>
      <c r="D100" s="6" t="s">
        <v>287</v>
      </c>
      <c r="E100" s="51" t="s">
        <v>289</v>
      </c>
      <c r="F100" s="51" t="s">
        <v>289</v>
      </c>
      <c r="G100" s="49"/>
      <c r="H100" s="49"/>
      <c r="I100" s="49">
        <f t="shared" si="12"/>
        <v>0</v>
      </c>
    </row>
    <row r="101">
      <c r="A101" s="57"/>
      <c r="B101" s="6" t="s">
        <v>297</v>
      </c>
      <c r="C101" s="6" t="s">
        <v>287</v>
      </c>
      <c r="D101" s="6" t="s">
        <v>287</v>
      </c>
      <c r="E101" s="6" t="s">
        <v>287</v>
      </c>
      <c r="F101" s="6" t="s">
        <v>287</v>
      </c>
      <c r="G101" s="49"/>
      <c r="H101" s="49"/>
      <c r="I101" s="49">
        <f>IF(C101="PASS",2,0)
+IF(D101="PASS",2,0)
+IF(E101="PASS",1,0)
+IF(F101="PASS",1,0)
</f>
        <v>0</v>
      </c>
    </row>
    <row r="102">
      <c r="A102" s="57"/>
      <c r="B102" s="52" t="s">
        <v>291</v>
      </c>
      <c r="C102" s="53"/>
      <c r="D102" s="53"/>
      <c r="E102" s="53"/>
      <c r="F102" s="53"/>
      <c r="G102" s="53"/>
      <c r="H102" s="22"/>
      <c r="I102" s="49">
        <f>SUM(I98:I101)</f>
        <v>0</v>
      </c>
    </row>
    <row r="103">
      <c r="A103" s="60"/>
      <c r="B103" s="58" t="str">
        <f>IF(I95&gt;=25,"S",IF(I95&gt;=22,"A",IF(I95&gt;=18,"B",IF(I95&gt;=14,"C","F"))))
&amp; " + " &amp;
IF(I102&gt;=18,"S",IF(I102&gt;=15,"A",IF(I102&gt;=11,"B",IF(I102&gt;=7,"C","F"))))</f>
        <v>F + F</v>
      </c>
    </row>
    <row r="106">
      <c r="A106" s="56" t="s">
        <v>348</v>
      </c>
      <c r="B106" s="47" t="s">
        <v>235</v>
      </c>
    </row>
    <row r="107">
      <c r="A107" s="57"/>
      <c r="B107" s="64" t="s">
        <v>245</v>
      </c>
      <c r="C107" s="6" t="s">
        <v>249</v>
      </c>
      <c r="D107" s="48" t="s">
        <v>251</v>
      </c>
      <c r="E107" s="48" t="s">
        <v>254</v>
      </c>
      <c r="F107" s="6" t="s">
        <v>256</v>
      </c>
      <c r="G107" s="6" t="s">
        <v>259</v>
      </c>
      <c r="H107" s="6" t="s">
        <v>262</v>
      </c>
      <c r="I107" s="49" t="str">
        <f>IF(COUNTIF(C108:E108,"UP") &gt;= COUNTIF(C108:E108,"DOWN"), "UP", "DOWN")</f>
        <v>DOWN</v>
      </c>
    </row>
    <row r="108">
      <c r="A108" s="57"/>
      <c r="B108" s="65" t="s">
        <v>273</v>
      </c>
      <c r="C108" s="6" t="s">
        <v>276</v>
      </c>
      <c r="D108" s="6" t="s">
        <v>276</v>
      </c>
      <c r="E108" s="6" t="s">
        <v>287</v>
      </c>
      <c r="F108" s="6" t="s">
        <v>287</v>
      </c>
      <c r="G108" s="6" t="s">
        <v>287</v>
      </c>
      <c r="H108" s="6" t="s">
        <v>287</v>
      </c>
      <c r="I108" s="49">
        <f>IF(C108=I107,3,0)
+IF(D108=I107,2,0)
+IF(E108=I107,1,0)
+IF(F108=I107,1,0)
+IF(G108=I107,0.5,0)
+IF(H108=I107,0.5,0)
</f>
        <v>5</v>
      </c>
    </row>
    <row r="109">
      <c r="A109" s="57"/>
      <c r="B109" s="65" t="s">
        <v>286</v>
      </c>
      <c r="C109" s="6" t="s">
        <v>287</v>
      </c>
      <c r="D109" s="6" t="s">
        <v>287</v>
      </c>
      <c r="E109" s="6" t="s">
        <v>287</v>
      </c>
      <c r="F109" s="6" t="s">
        <v>287</v>
      </c>
      <c r="G109" s="6" t="s">
        <v>287</v>
      </c>
      <c r="H109" s="6" t="s">
        <v>287</v>
      </c>
      <c r="I109" s="49">
        <f>IF(C109="PASS",3,0)
+IF(D109="PASS",2,0)
+IF(E109="PASS",1,0)
+IF(F109="PASS",1,0)
+IF(G109="PASS",0.5,0)
+IF(H109="PASS",0.5,0)
</f>
        <v>0</v>
      </c>
    </row>
    <row r="110">
      <c r="A110" s="57"/>
      <c r="B110" s="65" t="s">
        <v>288</v>
      </c>
      <c r="C110" s="6" t="s">
        <v>287</v>
      </c>
      <c r="D110" s="6" t="s">
        <v>287</v>
      </c>
      <c r="E110" s="51" t="s">
        <v>289</v>
      </c>
      <c r="F110" s="51" t="s">
        <v>289</v>
      </c>
      <c r="G110" s="51" t="s">
        <v>289</v>
      </c>
      <c r="H110" s="51" t="s">
        <v>289</v>
      </c>
      <c r="I110" s="49">
        <f t="shared" ref="I110:I111" si="13">IF(C110="PASS",3,0)
+IF(D110="PASS",2,0)</f>
        <v>0</v>
      </c>
    </row>
    <row r="111">
      <c r="A111" s="57"/>
      <c r="B111" s="65" t="s">
        <v>290</v>
      </c>
      <c r="C111" s="6" t="s">
        <v>287</v>
      </c>
      <c r="D111" s="6" t="s">
        <v>287</v>
      </c>
      <c r="E111" s="51" t="s">
        <v>289</v>
      </c>
      <c r="F111" s="51" t="s">
        <v>289</v>
      </c>
      <c r="G111" s="51" t="s">
        <v>289</v>
      </c>
      <c r="H111" s="51" t="s">
        <v>289</v>
      </c>
      <c r="I111" s="49">
        <f t="shared" si="13"/>
        <v>0</v>
      </c>
    </row>
    <row r="112">
      <c r="A112" s="57"/>
      <c r="B112" s="66" t="s">
        <v>291</v>
      </c>
      <c r="C112" s="53"/>
      <c r="D112" s="53"/>
      <c r="E112" s="53"/>
      <c r="F112" s="53"/>
      <c r="G112" s="53"/>
      <c r="H112" s="22"/>
      <c r="I112" s="49">
        <f>SUM(I108:I111)</f>
        <v>5</v>
      </c>
    </row>
    <row r="113">
      <c r="A113" s="57"/>
      <c r="B113" s="67" t="s">
        <v>292</v>
      </c>
      <c r="C113" s="53"/>
      <c r="D113" s="53"/>
      <c r="E113" s="53"/>
      <c r="F113" s="53"/>
      <c r="G113" s="53"/>
      <c r="H113" s="53"/>
      <c r="I113" s="22"/>
    </row>
    <row r="114">
      <c r="A114" s="57"/>
      <c r="B114" s="64" t="s">
        <v>293</v>
      </c>
      <c r="C114" s="48" t="s">
        <v>254</v>
      </c>
      <c r="D114" s="6" t="s">
        <v>256</v>
      </c>
      <c r="E114" s="6" t="s">
        <v>259</v>
      </c>
      <c r="F114" s="6" t="s">
        <v>262</v>
      </c>
      <c r="G114" s="49"/>
      <c r="H114" s="49"/>
      <c r="I114" s="49"/>
    </row>
    <row r="115">
      <c r="A115" s="57"/>
      <c r="B115" s="65" t="s">
        <v>294</v>
      </c>
      <c r="C115" s="6" t="s">
        <v>287</v>
      </c>
      <c r="D115" s="6" t="s">
        <v>287</v>
      </c>
      <c r="E115" s="51" t="s">
        <v>289</v>
      </c>
      <c r="F115" s="51" t="s">
        <v>289</v>
      </c>
      <c r="G115" s="49"/>
      <c r="H115" s="49"/>
      <c r="I115" s="49">
        <f t="shared" ref="I115:I117" si="14">IF(C115="PASS",2,0)
+IF(D115="PASS",2,0)
</f>
        <v>0</v>
      </c>
    </row>
    <row r="116">
      <c r="A116" s="57"/>
      <c r="B116" s="65" t="s">
        <v>295</v>
      </c>
      <c r="C116" s="6" t="s">
        <v>287</v>
      </c>
      <c r="D116" s="6" t="s">
        <v>287</v>
      </c>
      <c r="E116" s="51" t="s">
        <v>289</v>
      </c>
      <c r="F116" s="51" t="s">
        <v>289</v>
      </c>
      <c r="G116" s="49"/>
      <c r="H116" s="49"/>
      <c r="I116" s="49">
        <f t="shared" si="14"/>
        <v>0</v>
      </c>
    </row>
    <row r="117">
      <c r="A117" s="57"/>
      <c r="B117" s="65" t="s">
        <v>296</v>
      </c>
      <c r="C117" s="6" t="s">
        <v>287</v>
      </c>
      <c r="D117" s="6" t="s">
        <v>287</v>
      </c>
      <c r="E117" s="51" t="s">
        <v>289</v>
      </c>
      <c r="F117" s="51" t="s">
        <v>289</v>
      </c>
      <c r="G117" s="49"/>
      <c r="H117" s="49"/>
      <c r="I117" s="49">
        <f t="shared" si="14"/>
        <v>0</v>
      </c>
    </row>
    <row r="118">
      <c r="A118" s="57"/>
      <c r="B118" s="65" t="s">
        <v>297</v>
      </c>
      <c r="C118" s="6" t="s">
        <v>287</v>
      </c>
      <c r="D118" s="6" t="s">
        <v>287</v>
      </c>
      <c r="E118" s="6" t="s">
        <v>287</v>
      </c>
      <c r="F118" s="6" t="s">
        <v>287</v>
      </c>
      <c r="G118" s="49"/>
      <c r="H118" s="49"/>
      <c r="I118" s="49">
        <f>IF(C118="PASS",2,0)
+IF(D118="PASS",2,0)
+IF(E118="PASS",1,0)
+IF(F118="PASS",1,0)
</f>
        <v>0</v>
      </c>
    </row>
    <row r="119">
      <c r="A119" s="57"/>
      <c r="B119" s="66" t="s">
        <v>291</v>
      </c>
      <c r="C119" s="53"/>
      <c r="D119" s="53"/>
      <c r="E119" s="53"/>
      <c r="F119" s="53"/>
      <c r="G119" s="53"/>
      <c r="H119" s="22"/>
      <c r="I119" s="49">
        <f>SUM(I115:I118)</f>
        <v>0</v>
      </c>
    </row>
    <row r="120">
      <c r="A120" s="60"/>
      <c r="B120" s="58" t="str">
        <f>IF(I112&gt;=25,"S",IF(I112&gt;=22,"A",IF(I112&gt;=18,"B",IF(I112&gt;=14,"C","F"))))
&amp; " + " &amp;
IF(I119&gt;=18,"S",IF(I119&gt;=15,"A",IF(I119&gt;=11,"B",IF(I119&gt;=7,"C","F"))))</f>
        <v>F + F</v>
      </c>
    </row>
    <row r="123">
      <c r="A123" s="56" t="s">
        <v>351</v>
      </c>
      <c r="B123" s="47" t="s">
        <v>235</v>
      </c>
    </row>
    <row r="124">
      <c r="A124" s="57"/>
      <c r="B124" s="48" t="s">
        <v>245</v>
      </c>
      <c r="C124" s="6" t="s">
        <v>249</v>
      </c>
      <c r="D124" s="48" t="s">
        <v>251</v>
      </c>
      <c r="E124" s="48" t="s">
        <v>254</v>
      </c>
      <c r="F124" s="6" t="s">
        <v>256</v>
      </c>
      <c r="G124" s="6" t="s">
        <v>259</v>
      </c>
      <c r="H124" s="6" t="s">
        <v>262</v>
      </c>
      <c r="I124" s="49" t="str">
        <f>IF(COUNTIF(C125:E125,"UP") &gt;= COUNTIF(C125:E125,"DOWN"), "UP", "DOWN")</f>
        <v>UP</v>
      </c>
    </row>
    <row r="125">
      <c r="A125" s="57"/>
      <c r="B125" s="6" t="s">
        <v>273</v>
      </c>
      <c r="C125" s="6" t="s">
        <v>279</v>
      </c>
      <c r="D125" s="6" t="s">
        <v>279</v>
      </c>
      <c r="E125" s="6" t="s">
        <v>279</v>
      </c>
      <c r="F125" s="6" t="s">
        <v>279</v>
      </c>
      <c r="G125" s="6" t="s">
        <v>279</v>
      </c>
      <c r="H125" s="6" t="s">
        <v>279</v>
      </c>
      <c r="I125" s="49">
        <f>IF(C125=I124,3,0)
+IF(D125=I124,2,0)
+IF(E125=I124,1,0)
+IF(F125=I124,1,0)
+IF(G125=I124,0.5,0)
+IF(H125=I124,0.5,0)
</f>
        <v>8</v>
      </c>
    </row>
    <row r="126">
      <c r="A126" s="57"/>
      <c r="B126" s="6" t="s">
        <v>286</v>
      </c>
      <c r="C126" s="6" t="s">
        <v>8</v>
      </c>
      <c r="D126" s="6" t="s">
        <v>8</v>
      </c>
      <c r="E126" s="6" t="s">
        <v>8</v>
      </c>
      <c r="F126" s="6" t="s">
        <v>8</v>
      </c>
      <c r="G126" s="6" t="s">
        <v>8</v>
      </c>
      <c r="H126" s="6" t="s">
        <v>8</v>
      </c>
      <c r="I126" s="49">
        <f>IF(C126="PASS",3,0)
+IF(D126="PASS",2,0)
+IF(E126="PASS",1,0)
+IF(F126="PASS",1,0)
+IF(G126="PASS",0.5,0)
+IF(H126="PASS",0.5,0)
</f>
        <v>8</v>
      </c>
    </row>
    <row r="127">
      <c r="A127" s="57"/>
      <c r="B127" s="6" t="s">
        <v>288</v>
      </c>
      <c r="C127" s="6" t="s">
        <v>8</v>
      </c>
      <c r="D127" s="6" t="s">
        <v>8</v>
      </c>
      <c r="E127" s="51" t="s">
        <v>289</v>
      </c>
      <c r="F127" s="51" t="s">
        <v>289</v>
      </c>
      <c r="G127" s="51" t="s">
        <v>289</v>
      </c>
      <c r="H127" s="51" t="s">
        <v>289</v>
      </c>
      <c r="I127" s="49">
        <f t="shared" ref="I127:I128" si="15">IF(C127="PASS",3,0)
+IF(D127="PASS",2,0)</f>
        <v>5</v>
      </c>
    </row>
    <row r="128">
      <c r="A128" s="57"/>
      <c r="B128" s="6" t="s">
        <v>290</v>
      </c>
      <c r="C128" s="6" t="s">
        <v>8</v>
      </c>
      <c r="D128" s="6" t="s">
        <v>353</v>
      </c>
      <c r="E128" s="51" t="s">
        <v>289</v>
      </c>
      <c r="F128" s="51" t="s">
        <v>289</v>
      </c>
      <c r="G128" s="51" t="s">
        <v>289</v>
      </c>
      <c r="H128" s="51" t="s">
        <v>289</v>
      </c>
      <c r="I128" s="49">
        <f t="shared" si="15"/>
        <v>3</v>
      </c>
    </row>
    <row r="129">
      <c r="A129" s="57"/>
      <c r="B129" s="52" t="s">
        <v>291</v>
      </c>
      <c r="C129" s="53"/>
      <c r="D129" s="53"/>
      <c r="E129" s="53"/>
      <c r="F129" s="53"/>
      <c r="G129" s="53"/>
      <c r="H129" s="22"/>
      <c r="I129" s="49">
        <f>SUM(I125:I128)</f>
        <v>24</v>
      </c>
    </row>
    <row r="130">
      <c r="A130" s="57"/>
      <c r="B130" s="54" t="s">
        <v>292</v>
      </c>
      <c r="C130" s="53"/>
      <c r="D130" s="53"/>
      <c r="E130" s="53"/>
      <c r="F130" s="53"/>
      <c r="G130" s="53"/>
      <c r="H130" s="53"/>
      <c r="I130" s="22"/>
    </row>
    <row r="131">
      <c r="A131" s="57"/>
      <c r="B131" s="48" t="s">
        <v>293</v>
      </c>
      <c r="C131" s="48" t="s">
        <v>254</v>
      </c>
      <c r="D131" s="6" t="s">
        <v>256</v>
      </c>
      <c r="E131" s="6" t="s">
        <v>259</v>
      </c>
      <c r="F131" s="6" t="s">
        <v>262</v>
      </c>
      <c r="G131" s="49"/>
      <c r="H131" s="49"/>
      <c r="I131" s="49"/>
    </row>
    <row r="132">
      <c r="A132" s="57"/>
      <c r="B132" s="6" t="s">
        <v>294</v>
      </c>
      <c r="C132" s="6" t="s">
        <v>353</v>
      </c>
      <c r="D132" s="6" t="s">
        <v>8</v>
      </c>
      <c r="E132" s="51" t="s">
        <v>289</v>
      </c>
      <c r="F132" s="51" t="s">
        <v>289</v>
      </c>
      <c r="G132" s="49"/>
      <c r="H132" s="49"/>
      <c r="I132" s="49">
        <f t="shared" ref="I132:I134" si="16">IF(C132="PASS",2,0)
+IF(D132="PASS",2,0)
</f>
        <v>2</v>
      </c>
    </row>
    <row r="133">
      <c r="A133" s="57"/>
      <c r="B133" s="6" t="s">
        <v>295</v>
      </c>
      <c r="C133" s="6" t="s">
        <v>8</v>
      </c>
      <c r="D133" s="6" t="s">
        <v>8</v>
      </c>
      <c r="E133" s="51" t="s">
        <v>289</v>
      </c>
      <c r="F133" s="51" t="s">
        <v>289</v>
      </c>
      <c r="G133" s="49"/>
      <c r="H133" s="49"/>
      <c r="I133" s="49">
        <f t="shared" si="16"/>
        <v>4</v>
      </c>
    </row>
    <row r="134">
      <c r="A134" s="57"/>
      <c r="B134" s="6" t="s">
        <v>296</v>
      </c>
      <c r="C134" s="6" t="s">
        <v>8</v>
      </c>
      <c r="D134" s="6" t="s">
        <v>8</v>
      </c>
      <c r="E134" s="51" t="s">
        <v>289</v>
      </c>
      <c r="F134" s="51" t="s">
        <v>289</v>
      </c>
      <c r="G134" s="49"/>
      <c r="H134" s="49"/>
      <c r="I134" s="49">
        <f t="shared" si="16"/>
        <v>4</v>
      </c>
    </row>
    <row r="135">
      <c r="A135" s="57"/>
      <c r="B135" s="6" t="s">
        <v>297</v>
      </c>
      <c r="C135" s="6" t="s">
        <v>8</v>
      </c>
      <c r="D135" s="6" t="s">
        <v>8</v>
      </c>
      <c r="E135" s="6" t="s">
        <v>8</v>
      </c>
      <c r="F135" s="6" t="s">
        <v>8</v>
      </c>
      <c r="G135" s="49"/>
      <c r="H135" s="49"/>
      <c r="I135" s="49">
        <f>IF(C135="PASS",2,0)
+IF(D135="PASS",2,0)
+IF(E135="PASS",1,0)
+IF(F135="PASS",1,0)
</f>
        <v>6</v>
      </c>
    </row>
    <row r="136">
      <c r="A136" s="57"/>
      <c r="B136" s="52" t="s">
        <v>291</v>
      </c>
      <c r="C136" s="53"/>
      <c r="D136" s="53"/>
      <c r="E136" s="53"/>
      <c r="F136" s="53"/>
      <c r="G136" s="53"/>
      <c r="H136" s="22"/>
      <c r="I136" s="49">
        <f>SUM(I132:I135)</f>
        <v>16</v>
      </c>
    </row>
    <row r="137">
      <c r="A137" s="60"/>
      <c r="B137" s="58" t="str">
        <f>IF(I129&gt;=25,"S",IF(I129&gt;=22,"A",IF(I129&gt;=18,"B",IF(I129&gt;=14,"C","F"))))
&amp; " + " &amp;
IF(I136&gt;=18,"S",IF(I136&gt;=15,"A",IF(I136&gt;=11,"B",IF(I136&gt;=7,"C","F"))))</f>
        <v>A + A</v>
      </c>
    </row>
    <row r="140">
      <c r="A140" s="56" t="s">
        <v>354</v>
      </c>
      <c r="B140" s="47" t="s">
        <v>235</v>
      </c>
    </row>
    <row r="141">
      <c r="A141" s="57"/>
      <c r="B141" s="48" t="s">
        <v>245</v>
      </c>
      <c r="C141" s="6" t="s">
        <v>249</v>
      </c>
      <c r="D141" s="48" t="s">
        <v>251</v>
      </c>
      <c r="E141" s="48" t="s">
        <v>254</v>
      </c>
      <c r="F141" s="6" t="s">
        <v>256</v>
      </c>
      <c r="G141" s="6" t="s">
        <v>259</v>
      </c>
      <c r="H141" s="6" t="s">
        <v>262</v>
      </c>
      <c r="I141" s="49" t="str">
        <f>IF(COUNTIF(C142:E142,"UP") &gt;= COUNTIF(C142:E142,"DOWN"), "UP", "DOWN")</f>
        <v>UP</v>
      </c>
    </row>
    <row r="142">
      <c r="A142" s="57"/>
      <c r="B142" s="6" t="s">
        <v>273</v>
      </c>
      <c r="C142" s="6" t="s">
        <v>276</v>
      </c>
      <c r="D142" s="6" t="s">
        <v>279</v>
      </c>
      <c r="E142" s="6" t="s">
        <v>287</v>
      </c>
      <c r="F142" s="6" t="s">
        <v>287</v>
      </c>
      <c r="G142" s="6" t="s">
        <v>287</v>
      </c>
      <c r="H142" s="6" t="s">
        <v>287</v>
      </c>
      <c r="I142" s="49">
        <f>IF(C142=I141,3,0)
+IF(D142=I141,2,0)
+IF(E142=I141,1,0)
+IF(F142=I141,1,0)
+IF(G142=I141,0.5,0)
+IF(H142=I141,0.5,0)
</f>
        <v>2</v>
      </c>
    </row>
    <row r="143">
      <c r="A143" s="57"/>
      <c r="B143" s="6" t="s">
        <v>286</v>
      </c>
      <c r="C143" s="6" t="s">
        <v>287</v>
      </c>
      <c r="D143" s="6" t="s">
        <v>287</v>
      </c>
      <c r="E143" s="6" t="s">
        <v>287</v>
      </c>
      <c r="F143" s="6" t="s">
        <v>287</v>
      </c>
      <c r="G143" s="6" t="s">
        <v>287</v>
      </c>
      <c r="H143" s="6" t="s">
        <v>287</v>
      </c>
      <c r="I143" s="49">
        <f>IF(C143="PASS",3,0)
+IF(D143="PASS",2,0)
+IF(E143="PASS",1,0)
+IF(F143="PASS",1,0)
+IF(G143="PASS",0.5,0)
+IF(H143="PASS",0.5,0)
</f>
        <v>0</v>
      </c>
    </row>
    <row r="144">
      <c r="A144" s="57"/>
      <c r="B144" s="6" t="s">
        <v>288</v>
      </c>
      <c r="C144" s="6" t="s">
        <v>287</v>
      </c>
      <c r="D144" s="6" t="s">
        <v>287</v>
      </c>
      <c r="E144" s="51" t="s">
        <v>289</v>
      </c>
      <c r="F144" s="51" t="s">
        <v>289</v>
      </c>
      <c r="G144" s="51" t="s">
        <v>289</v>
      </c>
      <c r="H144" s="51" t="s">
        <v>289</v>
      </c>
      <c r="I144" s="49">
        <f t="shared" ref="I144:I145" si="17">IF(C144="PASS",3,0)
+IF(D144="PASS",2,0)</f>
        <v>0</v>
      </c>
    </row>
    <row r="145">
      <c r="A145" s="57"/>
      <c r="B145" s="6" t="s">
        <v>290</v>
      </c>
      <c r="C145" s="6" t="s">
        <v>287</v>
      </c>
      <c r="D145" s="6" t="s">
        <v>287</v>
      </c>
      <c r="E145" s="51" t="s">
        <v>289</v>
      </c>
      <c r="F145" s="51" t="s">
        <v>289</v>
      </c>
      <c r="G145" s="51" t="s">
        <v>289</v>
      </c>
      <c r="H145" s="51" t="s">
        <v>289</v>
      </c>
      <c r="I145" s="49">
        <f t="shared" si="17"/>
        <v>0</v>
      </c>
    </row>
    <row r="146">
      <c r="A146" s="57"/>
      <c r="B146" s="52" t="s">
        <v>291</v>
      </c>
      <c r="C146" s="53"/>
      <c r="D146" s="53"/>
      <c r="E146" s="53"/>
      <c r="F146" s="53"/>
      <c r="G146" s="53"/>
      <c r="H146" s="22"/>
      <c r="I146" s="49">
        <f>SUM(I142:I145)</f>
        <v>2</v>
      </c>
    </row>
    <row r="147">
      <c r="A147" s="57"/>
      <c r="B147" s="54" t="s">
        <v>292</v>
      </c>
      <c r="C147" s="53"/>
      <c r="D147" s="53"/>
      <c r="E147" s="53"/>
      <c r="F147" s="53"/>
      <c r="G147" s="53"/>
      <c r="H147" s="53"/>
      <c r="I147" s="22"/>
    </row>
    <row r="148">
      <c r="A148" s="57"/>
      <c r="B148" s="48" t="s">
        <v>293</v>
      </c>
      <c r="C148" s="48" t="s">
        <v>254</v>
      </c>
      <c r="D148" s="6" t="s">
        <v>256</v>
      </c>
      <c r="E148" s="6" t="s">
        <v>259</v>
      </c>
      <c r="F148" s="6" t="s">
        <v>262</v>
      </c>
      <c r="G148" s="49"/>
      <c r="H148" s="49"/>
      <c r="I148" s="49"/>
    </row>
    <row r="149">
      <c r="A149" s="57"/>
      <c r="B149" s="6" t="s">
        <v>294</v>
      </c>
      <c r="C149" s="6" t="s">
        <v>287</v>
      </c>
      <c r="D149" s="6" t="s">
        <v>287</v>
      </c>
      <c r="E149" s="51" t="s">
        <v>289</v>
      </c>
      <c r="F149" s="51" t="s">
        <v>289</v>
      </c>
      <c r="G149" s="49"/>
      <c r="H149" s="49"/>
      <c r="I149" s="49">
        <f t="shared" ref="I149:I151" si="18">IF(C149="PASS",2,0)
+IF(D149="PASS",2,0)
</f>
        <v>0</v>
      </c>
    </row>
    <row r="150">
      <c r="A150" s="57"/>
      <c r="B150" s="6" t="s">
        <v>295</v>
      </c>
      <c r="C150" s="6" t="s">
        <v>287</v>
      </c>
      <c r="D150" s="6" t="s">
        <v>287</v>
      </c>
      <c r="E150" s="51" t="s">
        <v>289</v>
      </c>
      <c r="F150" s="51" t="s">
        <v>289</v>
      </c>
      <c r="G150" s="49"/>
      <c r="H150" s="49"/>
      <c r="I150" s="49">
        <f t="shared" si="18"/>
        <v>0</v>
      </c>
    </row>
    <row r="151">
      <c r="A151" s="57"/>
      <c r="B151" s="6" t="s">
        <v>296</v>
      </c>
      <c r="C151" s="6" t="s">
        <v>287</v>
      </c>
      <c r="D151" s="6" t="s">
        <v>287</v>
      </c>
      <c r="E151" s="51" t="s">
        <v>289</v>
      </c>
      <c r="F151" s="51" t="s">
        <v>289</v>
      </c>
      <c r="G151" s="49"/>
      <c r="H151" s="49"/>
      <c r="I151" s="49">
        <f t="shared" si="18"/>
        <v>0</v>
      </c>
    </row>
    <row r="152">
      <c r="A152" s="57"/>
      <c r="B152" s="6" t="s">
        <v>297</v>
      </c>
      <c r="C152" s="6" t="s">
        <v>287</v>
      </c>
      <c r="D152" s="6" t="s">
        <v>287</v>
      </c>
      <c r="E152" s="6" t="s">
        <v>287</v>
      </c>
      <c r="F152" s="6" t="s">
        <v>287</v>
      </c>
      <c r="G152" s="49"/>
      <c r="H152" s="49"/>
      <c r="I152" s="49">
        <f>IF(C152="PASS",2,0)
+IF(D152="PASS",2,0)
+IF(E152="PASS",1,0)
+IF(F152="PASS",1,0)
</f>
        <v>0</v>
      </c>
    </row>
    <row r="153">
      <c r="A153" s="57"/>
      <c r="B153" s="52" t="s">
        <v>291</v>
      </c>
      <c r="C153" s="53"/>
      <c r="D153" s="53"/>
      <c r="E153" s="53"/>
      <c r="F153" s="53"/>
      <c r="G153" s="53"/>
      <c r="H153" s="22"/>
      <c r="I153" s="49">
        <f>SUM(I149:I152)</f>
        <v>0</v>
      </c>
    </row>
    <row r="154">
      <c r="A154" s="60"/>
      <c r="B154" s="58" t="str">
        <f>IF(I146&gt;=25,"S",IF(I146&gt;=22,"A",IF(I146&gt;=18,"B",IF(I146&gt;=14,"C","F"))))
&amp; " + " &amp;
IF(I153&gt;=18,"S",IF(I153&gt;=15,"A",IF(I153&gt;=11,"B",IF(I153&gt;=7,"C","F"))))</f>
        <v>F + F</v>
      </c>
    </row>
    <row r="157">
      <c r="A157" s="56" t="s">
        <v>358</v>
      </c>
      <c r="B157" s="47" t="s">
        <v>235</v>
      </c>
    </row>
    <row r="158">
      <c r="A158" s="57"/>
      <c r="B158" s="48" t="s">
        <v>245</v>
      </c>
      <c r="C158" s="6" t="s">
        <v>249</v>
      </c>
      <c r="D158" s="48" t="s">
        <v>251</v>
      </c>
      <c r="E158" s="48" t="s">
        <v>254</v>
      </c>
      <c r="F158" s="6" t="s">
        <v>256</v>
      </c>
      <c r="G158" s="6" t="s">
        <v>259</v>
      </c>
      <c r="H158" s="6" t="s">
        <v>262</v>
      </c>
      <c r="I158" s="49" t="str">
        <f>IF(COUNTIF(C159:E159,"UP") &gt;= COUNTIF(C159:E159,"DOWN"), "UP", "DOWN")</f>
        <v>DOWN</v>
      </c>
    </row>
    <row r="159">
      <c r="A159" s="57"/>
      <c r="B159" s="6" t="s">
        <v>273</v>
      </c>
      <c r="C159" s="6" t="s">
        <v>276</v>
      </c>
      <c r="D159" s="6" t="s">
        <v>276</v>
      </c>
      <c r="E159" s="6" t="s">
        <v>276</v>
      </c>
      <c r="F159" s="6" t="s">
        <v>276</v>
      </c>
      <c r="G159" s="6" t="s">
        <v>276</v>
      </c>
      <c r="H159" s="6" t="s">
        <v>276</v>
      </c>
      <c r="I159" s="49">
        <f>IF(C159=I158,3,0)
+IF(D159=I158,2,0)
+IF(E159=I158,1,0)
+IF(F159=I158,1,0)
+IF(G159=I158,0.5,0)
+IF(H159=I158,0.5,0)
</f>
        <v>8</v>
      </c>
    </row>
    <row r="160">
      <c r="A160" s="57"/>
      <c r="B160" s="6" t="s">
        <v>286</v>
      </c>
      <c r="C160" s="6" t="s">
        <v>353</v>
      </c>
      <c r="D160" s="6" t="s">
        <v>8</v>
      </c>
      <c r="E160" s="6" t="s">
        <v>8</v>
      </c>
      <c r="F160" s="6" t="s">
        <v>8</v>
      </c>
      <c r="G160" s="6" t="s">
        <v>8</v>
      </c>
      <c r="H160" s="6" t="s">
        <v>8</v>
      </c>
      <c r="I160" s="49">
        <f>IF(C160="PASS",3,0)
+IF(D160="PASS",2,0)
+IF(E160="PASS",1,0)
+IF(F160="PASS",1,0)
+IF(G160="PASS",0.5,0)
+IF(H160="PASS",0.5,0)
</f>
        <v>5</v>
      </c>
    </row>
    <row r="161">
      <c r="A161" s="57"/>
      <c r="B161" s="6" t="s">
        <v>288</v>
      </c>
      <c r="C161" s="6" t="s">
        <v>8</v>
      </c>
      <c r="D161" s="6" t="s">
        <v>8</v>
      </c>
      <c r="E161" s="51" t="s">
        <v>289</v>
      </c>
      <c r="F161" s="51" t="s">
        <v>289</v>
      </c>
      <c r="G161" s="51" t="s">
        <v>289</v>
      </c>
      <c r="H161" s="51" t="s">
        <v>289</v>
      </c>
      <c r="I161" s="49">
        <f t="shared" ref="I161:I162" si="19">IF(C161="PASS",3,0)
+IF(D161="PASS",2,0)</f>
        <v>5</v>
      </c>
    </row>
    <row r="162">
      <c r="A162" s="57"/>
      <c r="B162" s="6" t="s">
        <v>290</v>
      </c>
      <c r="C162" s="6" t="s">
        <v>8</v>
      </c>
      <c r="D162" s="6" t="s">
        <v>8</v>
      </c>
      <c r="E162" s="51" t="s">
        <v>289</v>
      </c>
      <c r="F162" s="51" t="s">
        <v>289</v>
      </c>
      <c r="G162" s="51" t="s">
        <v>289</v>
      </c>
      <c r="H162" s="51" t="s">
        <v>289</v>
      </c>
      <c r="I162" s="49">
        <f t="shared" si="19"/>
        <v>5</v>
      </c>
    </row>
    <row r="163">
      <c r="A163" s="57"/>
      <c r="B163" s="52" t="s">
        <v>291</v>
      </c>
      <c r="C163" s="53"/>
      <c r="D163" s="53"/>
      <c r="E163" s="53"/>
      <c r="F163" s="53"/>
      <c r="G163" s="53"/>
      <c r="H163" s="22"/>
      <c r="I163" s="49">
        <f>SUM(I159:I162)</f>
        <v>23</v>
      </c>
    </row>
    <row r="164">
      <c r="A164" s="57"/>
      <c r="B164" s="54" t="s">
        <v>292</v>
      </c>
      <c r="C164" s="53"/>
      <c r="D164" s="53"/>
      <c r="E164" s="53"/>
      <c r="F164" s="53"/>
      <c r="G164" s="53"/>
      <c r="H164" s="53"/>
      <c r="I164" s="22"/>
    </row>
    <row r="165">
      <c r="A165" s="57"/>
      <c r="B165" s="48" t="s">
        <v>293</v>
      </c>
      <c r="C165" s="48" t="s">
        <v>254</v>
      </c>
      <c r="D165" s="6" t="s">
        <v>256</v>
      </c>
      <c r="E165" s="6" t="s">
        <v>259</v>
      </c>
      <c r="F165" s="6" t="s">
        <v>262</v>
      </c>
      <c r="G165" s="49"/>
      <c r="H165" s="49"/>
      <c r="I165" s="49"/>
    </row>
    <row r="166">
      <c r="A166" s="57"/>
      <c r="B166" s="6" t="s">
        <v>294</v>
      </c>
      <c r="C166" s="6" t="s">
        <v>353</v>
      </c>
      <c r="D166" s="6" t="s">
        <v>8</v>
      </c>
      <c r="E166" s="51" t="s">
        <v>289</v>
      </c>
      <c r="F166" s="51" t="s">
        <v>289</v>
      </c>
      <c r="G166" s="49"/>
      <c r="H166" s="49"/>
      <c r="I166" s="49">
        <f t="shared" ref="I166:I168" si="20">IF(C166="PASS",2,0)
+IF(D166="PASS",2,0)
</f>
        <v>2</v>
      </c>
    </row>
    <row r="167">
      <c r="A167" s="57"/>
      <c r="B167" s="6" t="s">
        <v>295</v>
      </c>
      <c r="C167" s="6" t="s">
        <v>8</v>
      </c>
      <c r="D167" s="6" t="s">
        <v>8</v>
      </c>
      <c r="E167" s="51" t="s">
        <v>289</v>
      </c>
      <c r="F167" s="51" t="s">
        <v>289</v>
      </c>
      <c r="G167" s="49"/>
      <c r="H167" s="49"/>
      <c r="I167" s="49">
        <f t="shared" si="20"/>
        <v>4</v>
      </c>
    </row>
    <row r="168">
      <c r="A168" s="57"/>
      <c r="B168" s="6" t="s">
        <v>296</v>
      </c>
      <c r="C168" s="6" t="s">
        <v>287</v>
      </c>
      <c r="D168" s="6" t="s">
        <v>287</v>
      </c>
      <c r="E168" s="51" t="s">
        <v>289</v>
      </c>
      <c r="F168" s="51" t="s">
        <v>289</v>
      </c>
      <c r="G168" s="49"/>
      <c r="H168" s="49"/>
      <c r="I168" s="49">
        <f t="shared" si="20"/>
        <v>0</v>
      </c>
    </row>
    <row r="169">
      <c r="A169" s="57"/>
      <c r="B169" s="6" t="s">
        <v>297</v>
      </c>
      <c r="C169" s="6" t="s">
        <v>287</v>
      </c>
      <c r="D169" s="6" t="s">
        <v>287</v>
      </c>
      <c r="E169" s="6" t="s">
        <v>287</v>
      </c>
      <c r="F169" s="6" t="s">
        <v>287</v>
      </c>
      <c r="G169" s="49"/>
      <c r="H169" s="49"/>
      <c r="I169" s="49">
        <f>IF(C169="PASS",2,0)
+IF(D169="PASS",2,0)
+IF(E169="PASS",1,0)
+IF(F169="PASS",1,0)
</f>
        <v>0</v>
      </c>
    </row>
    <row r="170">
      <c r="A170" s="57"/>
      <c r="B170" s="52" t="s">
        <v>291</v>
      </c>
      <c r="C170" s="53"/>
      <c r="D170" s="53"/>
      <c r="E170" s="53"/>
      <c r="F170" s="53"/>
      <c r="G170" s="53"/>
      <c r="H170" s="22"/>
      <c r="I170" s="49">
        <f>SUM(I166:I169)</f>
        <v>6</v>
      </c>
    </row>
    <row r="171">
      <c r="A171" s="60"/>
      <c r="B171" s="58" t="str">
        <f>IF(I163&gt;=25,"S",IF(I163&gt;=22,"A",IF(I163&gt;=18,"B",IF(I163&gt;=14,"C","F"))))
&amp; " + " &amp;
IF(I170&gt;=18,"S",IF(I170&gt;=15,"A",IF(I170&gt;=11,"B",IF(I170&gt;=7,"C","F"))))</f>
        <v>A + F</v>
      </c>
    </row>
    <row r="174">
      <c r="A174" s="56" t="s">
        <v>359</v>
      </c>
      <c r="B174" s="47" t="s">
        <v>235</v>
      </c>
    </row>
    <row r="175">
      <c r="A175" s="57"/>
      <c r="B175" s="48" t="s">
        <v>245</v>
      </c>
      <c r="C175" s="6" t="s">
        <v>249</v>
      </c>
      <c r="D175" s="48" t="s">
        <v>251</v>
      </c>
      <c r="E175" s="48" t="s">
        <v>254</v>
      </c>
      <c r="F175" s="6" t="s">
        <v>256</v>
      </c>
      <c r="G175" s="6" t="s">
        <v>259</v>
      </c>
      <c r="H175" s="6" t="s">
        <v>262</v>
      </c>
      <c r="I175" s="49" t="str">
        <f>IF(COUNTIF(C176:E176,"UP") &gt;= COUNTIF(C176:E176,"DOWN"), "UP", "DOWN")</f>
        <v>DOWN</v>
      </c>
    </row>
    <row r="176">
      <c r="A176" s="57"/>
      <c r="B176" s="6" t="s">
        <v>273</v>
      </c>
      <c r="C176" s="6" t="s">
        <v>276</v>
      </c>
      <c r="D176" s="6" t="s">
        <v>276</v>
      </c>
      <c r="E176" s="6" t="s">
        <v>287</v>
      </c>
      <c r="F176" s="6" t="s">
        <v>287</v>
      </c>
      <c r="G176" s="6" t="s">
        <v>287</v>
      </c>
      <c r="H176" s="6" t="s">
        <v>287</v>
      </c>
      <c r="I176" s="49">
        <f>IF(C176=I175,3,0)
+IF(D176=I175,2,0)
+IF(E176=I175,1,0)
+IF(F176=I175,1,0)
+IF(G176=I175,0.5,0)
+IF(H176=I175,0.5,0)
</f>
        <v>5</v>
      </c>
    </row>
    <row r="177">
      <c r="A177" s="57"/>
      <c r="B177" s="6" t="s">
        <v>286</v>
      </c>
      <c r="C177" s="6" t="s">
        <v>287</v>
      </c>
      <c r="D177" s="6" t="s">
        <v>287</v>
      </c>
      <c r="E177" s="6" t="s">
        <v>287</v>
      </c>
      <c r="F177" s="6" t="s">
        <v>287</v>
      </c>
      <c r="G177" s="6" t="s">
        <v>287</v>
      </c>
      <c r="H177" s="6" t="s">
        <v>287</v>
      </c>
      <c r="I177" s="49">
        <f>IF(C177="PASS",3,0)
+IF(D177="PASS",2,0)
+IF(E177="PASS",1,0)
+IF(F177="PASS",1,0)
+IF(G177="PASS",0.5,0)
+IF(H177="PASS",0.5,0)
</f>
        <v>0</v>
      </c>
    </row>
    <row r="178">
      <c r="A178" s="57"/>
      <c r="B178" s="6" t="s">
        <v>288</v>
      </c>
      <c r="C178" s="6" t="s">
        <v>287</v>
      </c>
      <c r="D178" s="6" t="s">
        <v>287</v>
      </c>
      <c r="E178" s="51" t="s">
        <v>289</v>
      </c>
      <c r="F178" s="51" t="s">
        <v>289</v>
      </c>
      <c r="G178" s="51" t="s">
        <v>289</v>
      </c>
      <c r="H178" s="51" t="s">
        <v>289</v>
      </c>
      <c r="I178" s="49">
        <f t="shared" ref="I178:I179" si="21">IF(C178="PASS",3,0)
+IF(D178="PASS",2,0)</f>
        <v>0</v>
      </c>
    </row>
    <row r="179">
      <c r="A179" s="57"/>
      <c r="B179" s="6" t="s">
        <v>290</v>
      </c>
      <c r="C179" s="6" t="s">
        <v>287</v>
      </c>
      <c r="D179" s="6" t="s">
        <v>287</v>
      </c>
      <c r="E179" s="51" t="s">
        <v>289</v>
      </c>
      <c r="F179" s="51" t="s">
        <v>289</v>
      </c>
      <c r="G179" s="51" t="s">
        <v>289</v>
      </c>
      <c r="H179" s="51" t="s">
        <v>289</v>
      </c>
      <c r="I179" s="49">
        <f t="shared" si="21"/>
        <v>0</v>
      </c>
    </row>
    <row r="180">
      <c r="A180" s="57"/>
      <c r="B180" s="52" t="s">
        <v>291</v>
      </c>
      <c r="C180" s="53"/>
      <c r="D180" s="53"/>
      <c r="E180" s="53"/>
      <c r="F180" s="53"/>
      <c r="G180" s="53"/>
      <c r="H180" s="22"/>
      <c r="I180" s="49">
        <f>SUM(I176:I179)</f>
        <v>5</v>
      </c>
    </row>
    <row r="181">
      <c r="A181" s="57"/>
      <c r="B181" s="54" t="s">
        <v>292</v>
      </c>
      <c r="C181" s="53"/>
      <c r="D181" s="53"/>
      <c r="E181" s="53"/>
      <c r="F181" s="53"/>
      <c r="G181" s="53"/>
      <c r="H181" s="53"/>
      <c r="I181" s="22"/>
    </row>
    <row r="182">
      <c r="A182" s="57"/>
      <c r="B182" s="48" t="s">
        <v>293</v>
      </c>
      <c r="C182" s="48" t="s">
        <v>254</v>
      </c>
      <c r="D182" s="6" t="s">
        <v>256</v>
      </c>
      <c r="E182" s="6" t="s">
        <v>259</v>
      </c>
      <c r="F182" s="6" t="s">
        <v>262</v>
      </c>
      <c r="G182" s="49"/>
      <c r="H182" s="49"/>
      <c r="I182" s="49"/>
    </row>
    <row r="183">
      <c r="A183" s="57"/>
      <c r="B183" s="6" t="s">
        <v>294</v>
      </c>
      <c r="C183" s="6" t="s">
        <v>287</v>
      </c>
      <c r="D183" s="6" t="s">
        <v>287</v>
      </c>
      <c r="E183" s="51" t="s">
        <v>289</v>
      </c>
      <c r="F183" s="51" t="s">
        <v>289</v>
      </c>
      <c r="G183" s="49"/>
      <c r="H183" s="49"/>
      <c r="I183" s="49">
        <f t="shared" ref="I183:I185" si="22">IF(C183="PASS",2,0)
+IF(D183="PASS",2,0)
</f>
        <v>0</v>
      </c>
    </row>
    <row r="184">
      <c r="A184" s="57"/>
      <c r="B184" s="6" t="s">
        <v>295</v>
      </c>
      <c r="C184" s="6" t="s">
        <v>287</v>
      </c>
      <c r="D184" s="6" t="s">
        <v>287</v>
      </c>
      <c r="E184" s="51" t="s">
        <v>289</v>
      </c>
      <c r="F184" s="51" t="s">
        <v>289</v>
      </c>
      <c r="G184" s="49"/>
      <c r="H184" s="49"/>
      <c r="I184" s="49">
        <f t="shared" si="22"/>
        <v>0</v>
      </c>
    </row>
    <row r="185">
      <c r="A185" s="57"/>
      <c r="B185" s="6" t="s">
        <v>296</v>
      </c>
      <c r="C185" s="6" t="s">
        <v>287</v>
      </c>
      <c r="D185" s="6" t="s">
        <v>287</v>
      </c>
      <c r="E185" s="51" t="s">
        <v>289</v>
      </c>
      <c r="F185" s="51" t="s">
        <v>289</v>
      </c>
      <c r="G185" s="49"/>
      <c r="H185" s="49"/>
      <c r="I185" s="49">
        <f t="shared" si="22"/>
        <v>0</v>
      </c>
    </row>
    <row r="186">
      <c r="A186" s="57"/>
      <c r="B186" s="6" t="s">
        <v>297</v>
      </c>
      <c r="C186" s="6" t="s">
        <v>287</v>
      </c>
      <c r="D186" s="6" t="s">
        <v>287</v>
      </c>
      <c r="E186" s="6" t="s">
        <v>287</v>
      </c>
      <c r="F186" s="6" t="s">
        <v>287</v>
      </c>
      <c r="G186" s="49"/>
      <c r="H186" s="49"/>
      <c r="I186" s="49">
        <f>IF(C186="PASS",2,0)
+IF(D186="PASS",2,0)
+IF(E186="PASS",1,0)
+IF(F186="PASS",1,0)
</f>
        <v>0</v>
      </c>
    </row>
    <row r="187">
      <c r="A187" s="57"/>
      <c r="B187" s="52" t="s">
        <v>291</v>
      </c>
      <c r="C187" s="53"/>
      <c r="D187" s="53"/>
      <c r="E187" s="53"/>
      <c r="F187" s="53"/>
      <c r="G187" s="53"/>
      <c r="H187" s="22"/>
      <c r="I187" s="49">
        <f>SUM(I183:I186)</f>
        <v>0</v>
      </c>
    </row>
    <row r="188">
      <c r="A188" s="60"/>
      <c r="B188" s="58" t="str">
        <f>IF(I180&gt;=25,"S",IF(I180&gt;=22,"A",IF(I180&gt;=18,"B",IF(I180&gt;=14,"C","F"))))
&amp; " + " &amp;
IF(I187&gt;=18,"S",IF(I187&gt;=15,"A",IF(I187&gt;=11,"B",IF(I187&gt;=7,"C","F"))))</f>
        <v>F + F</v>
      </c>
    </row>
    <row r="191">
      <c r="A191" s="56" t="s">
        <v>364</v>
      </c>
      <c r="B191" s="47" t="s">
        <v>235</v>
      </c>
    </row>
    <row r="192">
      <c r="A192" s="57"/>
      <c r="B192" s="48" t="s">
        <v>245</v>
      </c>
      <c r="C192" s="6" t="s">
        <v>249</v>
      </c>
      <c r="D192" s="48" t="s">
        <v>251</v>
      </c>
      <c r="E192" s="48" t="s">
        <v>254</v>
      </c>
      <c r="F192" s="6" t="s">
        <v>256</v>
      </c>
      <c r="G192" s="6" t="s">
        <v>259</v>
      </c>
      <c r="H192" s="6" t="s">
        <v>262</v>
      </c>
      <c r="I192" s="49" t="str">
        <f>IF(COUNTIF(C193:E193,"UP") &gt;= COUNTIF(C193:E193,"DOWN"), "UP", "DOWN")</f>
        <v>UP</v>
      </c>
    </row>
    <row r="193">
      <c r="A193" s="57"/>
      <c r="B193" s="6" t="s">
        <v>273</v>
      </c>
      <c r="C193" s="6" t="s">
        <v>279</v>
      </c>
      <c r="D193" s="6" t="s">
        <v>279</v>
      </c>
      <c r="E193" s="6" t="s">
        <v>287</v>
      </c>
      <c r="F193" s="6" t="s">
        <v>287</v>
      </c>
      <c r="G193" s="6" t="s">
        <v>287</v>
      </c>
      <c r="H193" s="6" t="s">
        <v>287</v>
      </c>
      <c r="I193" s="49">
        <f>IF(C193=I192,3,0)
+IF(D193=I192,2,0)
+IF(E193=I192,1,0)
+IF(F193=I192,1,0)
+IF(G193=I192,0.5,0)
+IF(H193=I192,0.5,0)
</f>
        <v>5</v>
      </c>
    </row>
    <row r="194">
      <c r="A194" s="57"/>
      <c r="B194" s="6" t="s">
        <v>286</v>
      </c>
      <c r="C194" s="6" t="s">
        <v>287</v>
      </c>
      <c r="D194" s="6" t="s">
        <v>287</v>
      </c>
      <c r="E194" s="6" t="s">
        <v>287</v>
      </c>
      <c r="F194" s="6" t="s">
        <v>287</v>
      </c>
      <c r="G194" s="6" t="s">
        <v>287</v>
      </c>
      <c r="H194" s="6" t="s">
        <v>287</v>
      </c>
      <c r="I194" s="49">
        <f>IF(C194="PASS",3,0)
+IF(D194="PASS",2,0)
+IF(E194="PASS",1,0)
+IF(F194="PASS",1,0)
+IF(G194="PASS",0.5,0)
+IF(H194="PASS",0.5,0)
</f>
        <v>0</v>
      </c>
    </row>
    <row r="195">
      <c r="A195" s="57"/>
      <c r="B195" s="6" t="s">
        <v>288</v>
      </c>
      <c r="C195" s="6" t="s">
        <v>287</v>
      </c>
      <c r="D195" s="6" t="s">
        <v>287</v>
      </c>
      <c r="E195" s="51" t="s">
        <v>289</v>
      </c>
      <c r="F195" s="51" t="s">
        <v>289</v>
      </c>
      <c r="G195" s="51" t="s">
        <v>289</v>
      </c>
      <c r="H195" s="51" t="s">
        <v>289</v>
      </c>
      <c r="I195" s="49">
        <f t="shared" ref="I195:I196" si="23">IF(C195="PASS",3,0)
+IF(D195="PASS",2,0)</f>
        <v>0</v>
      </c>
    </row>
    <row r="196">
      <c r="A196" s="57"/>
      <c r="B196" s="6" t="s">
        <v>290</v>
      </c>
      <c r="C196" s="6" t="s">
        <v>287</v>
      </c>
      <c r="D196" s="6" t="s">
        <v>287</v>
      </c>
      <c r="E196" s="51" t="s">
        <v>289</v>
      </c>
      <c r="F196" s="51" t="s">
        <v>289</v>
      </c>
      <c r="G196" s="51" t="s">
        <v>289</v>
      </c>
      <c r="H196" s="51" t="s">
        <v>289</v>
      </c>
      <c r="I196" s="49">
        <f t="shared" si="23"/>
        <v>0</v>
      </c>
    </row>
    <row r="197">
      <c r="A197" s="57"/>
      <c r="B197" s="52" t="s">
        <v>291</v>
      </c>
      <c r="C197" s="53"/>
      <c r="D197" s="53"/>
      <c r="E197" s="53"/>
      <c r="F197" s="53"/>
      <c r="G197" s="53"/>
      <c r="H197" s="22"/>
      <c r="I197" s="49">
        <f>SUM(I193:I196)</f>
        <v>5</v>
      </c>
    </row>
    <row r="198">
      <c r="A198" s="57"/>
      <c r="B198" s="54" t="s">
        <v>292</v>
      </c>
      <c r="C198" s="53"/>
      <c r="D198" s="53"/>
      <c r="E198" s="53"/>
      <c r="F198" s="53"/>
      <c r="G198" s="53"/>
      <c r="H198" s="53"/>
      <c r="I198" s="22"/>
    </row>
    <row r="199">
      <c r="A199" s="57"/>
      <c r="B199" s="48" t="s">
        <v>293</v>
      </c>
      <c r="C199" s="48" t="s">
        <v>254</v>
      </c>
      <c r="D199" s="6" t="s">
        <v>256</v>
      </c>
      <c r="E199" s="6" t="s">
        <v>259</v>
      </c>
      <c r="F199" s="6" t="s">
        <v>262</v>
      </c>
      <c r="G199" s="49"/>
      <c r="H199" s="49"/>
      <c r="I199" s="49"/>
    </row>
    <row r="200">
      <c r="A200" s="57"/>
      <c r="B200" s="6" t="s">
        <v>294</v>
      </c>
      <c r="C200" s="6" t="s">
        <v>287</v>
      </c>
      <c r="D200" s="6" t="s">
        <v>287</v>
      </c>
      <c r="E200" s="51" t="s">
        <v>289</v>
      </c>
      <c r="F200" s="51" t="s">
        <v>289</v>
      </c>
      <c r="G200" s="49"/>
      <c r="H200" s="49"/>
      <c r="I200" s="49">
        <f t="shared" ref="I200:I202" si="24">IF(C200="PASS",2,0)
+IF(D200="PASS",2,0)
</f>
        <v>0</v>
      </c>
    </row>
    <row r="201">
      <c r="A201" s="57"/>
      <c r="B201" s="6" t="s">
        <v>295</v>
      </c>
      <c r="C201" s="6" t="s">
        <v>287</v>
      </c>
      <c r="D201" s="6" t="s">
        <v>287</v>
      </c>
      <c r="E201" s="51" t="s">
        <v>289</v>
      </c>
      <c r="F201" s="51" t="s">
        <v>289</v>
      </c>
      <c r="G201" s="49"/>
      <c r="H201" s="49"/>
      <c r="I201" s="49">
        <f t="shared" si="24"/>
        <v>0</v>
      </c>
    </row>
    <row r="202">
      <c r="A202" s="57"/>
      <c r="B202" s="6" t="s">
        <v>296</v>
      </c>
      <c r="C202" s="6" t="s">
        <v>287</v>
      </c>
      <c r="D202" s="6" t="s">
        <v>287</v>
      </c>
      <c r="E202" s="51" t="s">
        <v>289</v>
      </c>
      <c r="F202" s="51" t="s">
        <v>289</v>
      </c>
      <c r="G202" s="49"/>
      <c r="H202" s="49"/>
      <c r="I202" s="49">
        <f t="shared" si="24"/>
        <v>0</v>
      </c>
    </row>
    <row r="203">
      <c r="A203" s="57"/>
      <c r="B203" s="6" t="s">
        <v>297</v>
      </c>
      <c r="C203" s="6" t="s">
        <v>287</v>
      </c>
      <c r="D203" s="6" t="s">
        <v>287</v>
      </c>
      <c r="E203" s="6" t="s">
        <v>287</v>
      </c>
      <c r="F203" s="6" t="s">
        <v>287</v>
      </c>
      <c r="G203" s="49"/>
      <c r="H203" s="49"/>
      <c r="I203" s="49">
        <f>IF(C203="PASS",2,0)
+IF(D203="PASS",2,0)
+IF(E203="PASS",1,0)
+IF(F203="PASS",1,0)
</f>
        <v>0</v>
      </c>
    </row>
    <row r="204">
      <c r="A204" s="57"/>
      <c r="B204" s="52" t="s">
        <v>291</v>
      </c>
      <c r="C204" s="53"/>
      <c r="D204" s="53"/>
      <c r="E204" s="53"/>
      <c r="F204" s="53"/>
      <c r="G204" s="53"/>
      <c r="H204" s="22"/>
      <c r="I204" s="49">
        <f>SUM(I200:I203)</f>
        <v>0</v>
      </c>
    </row>
    <row r="205">
      <c r="A205" s="60"/>
      <c r="B205" s="58" t="str">
        <f>IF(I197&gt;=25,"S",IF(I197&gt;=22,"A",IF(I197&gt;=18,"B",IF(I197&gt;=14,"C","F"))))
&amp; " + " &amp;
IF(I204&gt;=18,"S",IF(I204&gt;=15,"A",IF(I204&gt;=11,"B",IF(I204&gt;=7,"C","F"))))</f>
        <v>F + F</v>
      </c>
    </row>
    <row r="208">
      <c r="A208" s="56" t="s">
        <v>376</v>
      </c>
      <c r="B208" s="47" t="s">
        <v>235</v>
      </c>
    </row>
    <row r="209">
      <c r="A209" s="57"/>
      <c r="B209" s="48" t="s">
        <v>245</v>
      </c>
      <c r="C209" s="6" t="s">
        <v>249</v>
      </c>
      <c r="D209" s="48" t="s">
        <v>251</v>
      </c>
      <c r="E209" s="48" t="s">
        <v>254</v>
      </c>
      <c r="F209" s="6" t="s">
        <v>256</v>
      </c>
      <c r="G209" s="6" t="s">
        <v>259</v>
      </c>
      <c r="H209" s="6" t="s">
        <v>262</v>
      </c>
      <c r="I209" s="49" t="str">
        <f>IF(COUNTIF(C210:E210,"UP") &gt;= COUNTIF(C210:E210,"DOWN"), "UP", "DOWN")</f>
        <v>UP</v>
      </c>
    </row>
    <row r="210">
      <c r="A210" s="57"/>
      <c r="B210" s="6" t="s">
        <v>273</v>
      </c>
      <c r="C210" s="6" t="s">
        <v>279</v>
      </c>
      <c r="D210" s="6" t="s">
        <v>276</v>
      </c>
      <c r="E210" s="6" t="s">
        <v>287</v>
      </c>
      <c r="F210" s="6" t="s">
        <v>287</v>
      </c>
      <c r="G210" s="6" t="s">
        <v>287</v>
      </c>
      <c r="H210" s="6" t="s">
        <v>287</v>
      </c>
      <c r="I210" s="49">
        <f>IF(C210=I209,3,0)
+IF(D210=I209,2,0)
+IF(E210=I209,1,0)
+IF(F210=I209,1,0)
+IF(G210=I209,0.5,0)
+IF(H210=I209,0.5,0)
</f>
        <v>3</v>
      </c>
    </row>
    <row r="211">
      <c r="A211" s="57"/>
      <c r="B211" s="6" t="s">
        <v>286</v>
      </c>
      <c r="C211" s="6" t="s">
        <v>287</v>
      </c>
      <c r="D211" s="6" t="s">
        <v>8</v>
      </c>
      <c r="E211" s="6" t="s">
        <v>287</v>
      </c>
      <c r="F211" s="6" t="s">
        <v>287</v>
      </c>
      <c r="G211" s="6" t="s">
        <v>287</v>
      </c>
      <c r="H211" s="6" t="s">
        <v>287</v>
      </c>
      <c r="I211" s="49">
        <f>IF(C211="PASS",3,0)
+IF(D211="PASS",2,0)
+IF(E211="PASS",1,0)
+IF(F211="PASS",1,0)
+IF(G211="PASS",0.5,0)
+IF(H211="PASS",0.5,0)
</f>
        <v>2</v>
      </c>
    </row>
    <row r="212">
      <c r="A212" s="57"/>
      <c r="B212" s="6" t="s">
        <v>288</v>
      </c>
      <c r="C212" s="6" t="s">
        <v>8</v>
      </c>
      <c r="D212" s="6" t="s">
        <v>8</v>
      </c>
      <c r="E212" s="51" t="s">
        <v>289</v>
      </c>
      <c r="F212" s="51" t="s">
        <v>289</v>
      </c>
      <c r="G212" s="51" t="s">
        <v>289</v>
      </c>
      <c r="H212" s="51" t="s">
        <v>289</v>
      </c>
      <c r="I212" s="49">
        <f t="shared" ref="I212:I213" si="25">IF(C212="PASS",3,0)
+IF(D212="PASS",2,0)</f>
        <v>5</v>
      </c>
    </row>
    <row r="213">
      <c r="A213" s="57"/>
      <c r="B213" s="6" t="s">
        <v>290</v>
      </c>
      <c r="C213" s="6" t="s">
        <v>287</v>
      </c>
      <c r="D213" s="6" t="s">
        <v>287</v>
      </c>
      <c r="E213" s="51" t="s">
        <v>289</v>
      </c>
      <c r="F213" s="51" t="s">
        <v>289</v>
      </c>
      <c r="G213" s="51" t="s">
        <v>289</v>
      </c>
      <c r="H213" s="51" t="s">
        <v>289</v>
      </c>
      <c r="I213" s="49">
        <f t="shared" si="25"/>
        <v>0</v>
      </c>
    </row>
    <row r="214">
      <c r="A214" s="57"/>
      <c r="B214" s="52" t="s">
        <v>291</v>
      </c>
      <c r="C214" s="53"/>
      <c r="D214" s="53"/>
      <c r="E214" s="53"/>
      <c r="F214" s="53"/>
      <c r="G214" s="53"/>
      <c r="H214" s="22"/>
      <c r="I214" s="49">
        <f>SUM(I210:I213)</f>
        <v>10</v>
      </c>
    </row>
    <row r="215">
      <c r="A215" s="57"/>
      <c r="B215" s="54" t="s">
        <v>292</v>
      </c>
      <c r="C215" s="53"/>
      <c r="D215" s="53"/>
      <c r="E215" s="53"/>
      <c r="F215" s="53"/>
      <c r="G215" s="53"/>
      <c r="H215" s="53"/>
      <c r="I215" s="22"/>
    </row>
    <row r="216">
      <c r="A216" s="57"/>
      <c r="B216" s="48" t="s">
        <v>293</v>
      </c>
      <c r="C216" s="48" t="s">
        <v>254</v>
      </c>
      <c r="D216" s="6" t="s">
        <v>256</v>
      </c>
      <c r="E216" s="6" t="s">
        <v>259</v>
      </c>
      <c r="F216" s="6" t="s">
        <v>262</v>
      </c>
      <c r="G216" s="49"/>
      <c r="H216" s="49"/>
      <c r="I216" s="49"/>
    </row>
    <row r="217">
      <c r="A217" s="57"/>
      <c r="B217" s="6" t="s">
        <v>294</v>
      </c>
      <c r="C217" s="6" t="s">
        <v>287</v>
      </c>
      <c r="D217" s="6" t="s">
        <v>287</v>
      </c>
      <c r="E217" s="51" t="s">
        <v>289</v>
      </c>
      <c r="F217" s="51" t="s">
        <v>289</v>
      </c>
      <c r="G217" s="49"/>
      <c r="H217" s="49"/>
      <c r="I217" s="49">
        <f t="shared" ref="I217:I219" si="26">IF(C217="PASS",2,0)
+IF(D217="PASS",2,0)
</f>
        <v>0</v>
      </c>
    </row>
    <row r="218">
      <c r="A218" s="57"/>
      <c r="B218" s="6" t="s">
        <v>295</v>
      </c>
      <c r="C218" s="6" t="s">
        <v>287</v>
      </c>
      <c r="D218" s="6" t="s">
        <v>287</v>
      </c>
      <c r="E218" s="51" t="s">
        <v>289</v>
      </c>
      <c r="F218" s="51" t="s">
        <v>289</v>
      </c>
      <c r="G218" s="49"/>
      <c r="H218" s="49"/>
      <c r="I218" s="49">
        <f t="shared" si="26"/>
        <v>0</v>
      </c>
    </row>
    <row r="219">
      <c r="A219" s="57"/>
      <c r="B219" s="6" t="s">
        <v>296</v>
      </c>
      <c r="C219" s="6" t="s">
        <v>287</v>
      </c>
      <c r="D219" s="6" t="s">
        <v>287</v>
      </c>
      <c r="E219" s="51" t="s">
        <v>289</v>
      </c>
      <c r="F219" s="51" t="s">
        <v>289</v>
      </c>
      <c r="G219" s="49"/>
      <c r="H219" s="49"/>
      <c r="I219" s="49">
        <f t="shared" si="26"/>
        <v>0</v>
      </c>
    </row>
    <row r="220">
      <c r="A220" s="57"/>
      <c r="B220" s="6" t="s">
        <v>297</v>
      </c>
      <c r="C220" s="6" t="s">
        <v>287</v>
      </c>
      <c r="D220" s="6" t="s">
        <v>287</v>
      </c>
      <c r="E220" s="6" t="s">
        <v>287</v>
      </c>
      <c r="F220" s="6" t="s">
        <v>287</v>
      </c>
      <c r="G220" s="49"/>
      <c r="H220" s="49"/>
      <c r="I220" s="49">
        <f>IF(C220="PASS",2,0)
+IF(D220="PASS",2,0)
+IF(E220="PASS",1,0)
+IF(F220="PASS",1,0)
</f>
        <v>0</v>
      </c>
    </row>
    <row r="221">
      <c r="A221" s="57"/>
      <c r="B221" s="52" t="s">
        <v>291</v>
      </c>
      <c r="C221" s="53"/>
      <c r="D221" s="53"/>
      <c r="E221" s="53"/>
      <c r="F221" s="53"/>
      <c r="G221" s="53"/>
      <c r="H221" s="22"/>
      <c r="I221" s="49">
        <f>SUM(I217:I220)</f>
        <v>0</v>
      </c>
    </row>
    <row r="222">
      <c r="A222" s="60"/>
      <c r="B222" s="58" t="str">
        <f>IF(I214&gt;=25,"S",IF(I214&gt;=22,"A",IF(I214&gt;=18,"B",IF(I214&gt;=14,"C","F"))))
&amp; " + " &amp;
IF(I221&gt;=18,"S",IF(I221&gt;=15,"A",IF(I221&gt;=11,"B",IF(I221&gt;=7,"C","F"))))</f>
        <v>F + F</v>
      </c>
    </row>
    <row r="225">
      <c r="A225" s="56" t="s">
        <v>395</v>
      </c>
      <c r="B225" s="47" t="s">
        <v>235</v>
      </c>
    </row>
    <row r="226">
      <c r="A226" s="57"/>
      <c r="B226" s="48" t="s">
        <v>245</v>
      </c>
      <c r="C226" s="6" t="s">
        <v>249</v>
      </c>
      <c r="D226" s="48" t="s">
        <v>251</v>
      </c>
      <c r="E226" s="48" t="s">
        <v>254</v>
      </c>
      <c r="F226" s="6" t="s">
        <v>256</v>
      </c>
      <c r="G226" s="6" t="s">
        <v>259</v>
      </c>
      <c r="H226" s="6" t="s">
        <v>262</v>
      </c>
      <c r="I226" s="49" t="str">
        <f>IF(COUNTIF(C227:E227,"UP") &gt;= COUNTIF(C227:E227,"DOWN"), "UP", "DOWN")</f>
        <v>UP</v>
      </c>
    </row>
    <row r="227">
      <c r="A227" s="57"/>
      <c r="B227" s="6" t="s">
        <v>273</v>
      </c>
      <c r="C227" s="6" t="s">
        <v>279</v>
      </c>
      <c r="D227" s="6" t="s">
        <v>279</v>
      </c>
      <c r="E227" s="6" t="s">
        <v>287</v>
      </c>
      <c r="F227" s="6" t="s">
        <v>287</v>
      </c>
      <c r="G227" s="6" t="s">
        <v>287</v>
      </c>
      <c r="H227" s="6" t="s">
        <v>287</v>
      </c>
      <c r="I227" s="49">
        <f>IF(C227=I226,3,0)
+IF(D227=I226,2,0)
+IF(E227=I226,1,0)
+IF(F227=I226,1,0)
+IF(G227=I226,0.5,0)
+IF(H227=I226,0.5,0)
</f>
        <v>5</v>
      </c>
    </row>
    <row r="228">
      <c r="A228" s="57"/>
      <c r="B228" s="6" t="s">
        <v>286</v>
      </c>
      <c r="C228" s="6" t="s">
        <v>287</v>
      </c>
      <c r="D228" s="6" t="s">
        <v>287</v>
      </c>
      <c r="E228" s="6" t="s">
        <v>287</v>
      </c>
      <c r="F228" s="6" t="s">
        <v>287</v>
      </c>
      <c r="G228" s="6" t="s">
        <v>287</v>
      </c>
      <c r="H228" s="6" t="s">
        <v>287</v>
      </c>
      <c r="I228" s="49">
        <f>IF(C228="PASS",3,0)
+IF(D228="PASS",2,0)
+IF(E228="PASS",1,0)
+IF(F228="PASS",1,0)
+IF(G228="PASS",0.5,0)
+IF(H228="PASS",0.5,0)
</f>
        <v>0</v>
      </c>
    </row>
    <row r="229">
      <c r="A229" s="57"/>
      <c r="B229" s="6" t="s">
        <v>288</v>
      </c>
      <c r="C229" s="6" t="s">
        <v>287</v>
      </c>
      <c r="D229" s="6" t="s">
        <v>287</v>
      </c>
      <c r="E229" s="51" t="s">
        <v>289</v>
      </c>
      <c r="F229" s="51" t="s">
        <v>289</v>
      </c>
      <c r="G229" s="51" t="s">
        <v>289</v>
      </c>
      <c r="H229" s="51" t="s">
        <v>289</v>
      </c>
      <c r="I229" s="49">
        <f t="shared" ref="I229:I230" si="27">IF(C229="PASS",3,0)
+IF(D229="PASS",2,0)</f>
        <v>0</v>
      </c>
    </row>
    <row r="230">
      <c r="A230" s="57"/>
      <c r="B230" s="6" t="s">
        <v>290</v>
      </c>
      <c r="C230" s="6" t="s">
        <v>287</v>
      </c>
      <c r="D230" s="6" t="s">
        <v>287</v>
      </c>
      <c r="E230" s="51" t="s">
        <v>289</v>
      </c>
      <c r="F230" s="51" t="s">
        <v>289</v>
      </c>
      <c r="G230" s="51" t="s">
        <v>289</v>
      </c>
      <c r="H230" s="51" t="s">
        <v>289</v>
      </c>
      <c r="I230" s="49">
        <f t="shared" si="27"/>
        <v>0</v>
      </c>
    </row>
    <row r="231">
      <c r="A231" s="57"/>
      <c r="B231" s="52" t="s">
        <v>291</v>
      </c>
      <c r="C231" s="53"/>
      <c r="D231" s="53"/>
      <c r="E231" s="53"/>
      <c r="F231" s="53"/>
      <c r="G231" s="53"/>
      <c r="H231" s="22"/>
      <c r="I231" s="49">
        <f>SUM(I227:I230)</f>
        <v>5</v>
      </c>
    </row>
    <row r="232">
      <c r="A232" s="57"/>
      <c r="B232" s="54" t="s">
        <v>292</v>
      </c>
      <c r="C232" s="53"/>
      <c r="D232" s="53"/>
      <c r="E232" s="53"/>
      <c r="F232" s="53"/>
      <c r="G232" s="53"/>
      <c r="H232" s="53"/>
      <c r="I232" s="22"/>
    </row>
    <row r="233">
      <c r="A233" s="57"/>
      <c r="B233" s="48" t="s">
        <v>293</v>
      </c>
      <c r="C233" s="48" t="s">
        <v>254</v>
      </c>
      <c r="D233" s="6" t="s">
        <v>256</v>
      </c>
      <c r="E233" s="6" t="s">
        <v>259</v>
      </c>
      <c r="F233" s="6" t="s">
        <v>262</v>
      </c>
      <c r="G233" s="49"/>
      <c r="H233" s="49"/>
      <c r="I233" s="49"/>
    </row>
    <row r="234">
      <c r="A234" s="57"/>
      <c r="B234" s="6" t="s">
        <v>294</v>
      </c>
      <c r="C234" s="6" t="s">
        <v>287</v>
      </c>
      <c r="D234" s="6" t="s">
        <v>287</v>
      </c>
      <c r="E234" s="51" t="s">
        <v>289</v>
      </c>
      <c r="F234" s="51" t="s">
        <v>289</v>
      </c>
      <c r="G234" s="49"/>
      <c r="H234" s="49"/>
      <c r="I234" s="49">
        <f t="shared" ref="I234:I236" si="28">IF(C234="PASS",2,0)
+IF(D234="PASS",2,0)
</f>
        <v>0</v>
      </c>
    </row>
    <row r="235">
      <c r="A235" s="57"/>
      <c r="B235" s="6" t="s">
        <v>295</v>
      </c>
      <c r="C235" s="6" t="s">
        <v>287</v>
      </c>
      <c r="D235" s="6" t="s">
        <v>287</v>
      </c>
      <c r="E235" s="51" t="s">
        <v>289</v>
      </c>
      <c r="F235" s="51" t="s">
        <v>289</v>
      </c>
      <c r="G235" s="49"/>
      <c r="H235" s="49"/>
      <c r="I235" s="49">
        <f t="shared" si="28"/>
        <v>0</v>
      </c>
    </row>
    <row r="236">
      <c r="A236" s="57"/>
      <c r="B236" s="6" t="s">
        <v>296</v>
      </c>
      <c r="C236" s="6" t="s">
        <v>287</v>
      </c>
      <c r="D236" s="6" t="s">
        <v>287</v>
      </c>
      <c r="E236" s="51" t="s">
        <v>289</v>
      </c>
      <c r="F236" s="51" t="s">
        <v>289</v>
      </c>
      <c r="G236" s="49"/>
      <c r="H236" s="49"/>
      <c r="I236" s="49">
        <f t="shared" si="28"/>
        <v>0</v>
      </c>
    </row>
    <row r="237">
      <c r="A237" s="57"/>
      <c r="B237" s="6" t="s">
        <v>297</v>
      </c>
      <c r="C237" s="6" t="s">
        <v>287</v>
      </c>
      <c r="D237" s="6" t="s">
        <v>287</v>
      </c>
      <c r="E237" s="6" t="s">
        <v>287</v>
      </c>
      <c r="F237" s="6" t="s">
        <v>287</v>
      </c>
      <c r="G237" s="49"/>
      <c r="H237" s="49"/>
      <c r="I237" s="49">
        <f>IF(C237="PASS",2,0)
+IF(D237="PASS",2,0)
+IF(E237="PASS",1,0)
+IF(F237="PASS",1,0)
</f>
        <v>0</v>
      </c>
    </row>
    <row r="238">
      <c r="A238" s="57"/>
      <c r="B238" s="52" t="s">
        <v>291</v>
      </c>
      <c r="C238" s="53"/>
      <c r="D238" s="53"/>
      <c r="E238" s="53"/>
      <c r="F238" s="53"/>
      <c r="G238" s="53"/>
      <c r="H238" s="22"/>
      <c r="I238" s="49">
        <f>SUM(I234:I237)</f>
        <v>0</v>
      </c>
    </row>
    <row r="239">
      <c r="A239" s="60"/>
      <c r="B239" s="58" t="str">
        <f>IF(I231&gt;=25,"S",IF(I231&gt;=22,"A",IF(I231&gt;=18,"B",IF(I231&gt;=14,"C","F"))))
&amp; " + " &amp;
IF(I238&gt;=18,"S",IF(I238&gt;=15,"A",IF(I238&gt;=11,"B",IF(I238&gt;=7,"C","F"))))</f>
        <v>F + F</v>
      </c>
    </row>
    <row r="242">
      <c r="A242" s="56" t="s">
        <v>414</v>
      </c>
      <c r="B242" s="47" t="s">
        <v>235</v>
      </c>
    </row>
    <row r="243">
      <c r="A243" s="57"/>
      <c r="B243" s="48" t="s">
        <v>245</v>
      </c>
      <c r="C243" s="6" t="s">
        <v>249</v>
      </c>
      <c r="D243" s="48" t="s">
        <v>251</v>
      </c>
      <c r="E243" s="48" t="s">
        <v>254</v>
      </c>
      <c r="F243" s="6" t="s">
        <v>256</v>
      </c>
      <c r="G243" s="6" t="s">
        <v>259</v>
      </c>
      <c r="H243" s="6" t="s">
        <v>262</v>
      </c>
      <c r="I243" s="49" t="str">
        <f>IF(COUNTIF(C244:E244,"UP") &gt;= COUNTIF(C244:E244,"DOWN"), "UP", "DOWN")</f>
        <v>DOWN</v>
      </c>
    </row>
    <row r="244">
      <c r="A244" s="57"/>
      <c r="B244" s="6" t="s">
        <v>273</v>
      </c>
      <c r="C244" s="6" t="s">
        <v>276</v>
      </c>
      <c r="D244" s="6" t="s">
        <v>276</v>
      </c>
      <c r="E244" s="6" t="s">
        <v>287</v>
      </c>
      <c r="F244" s="6" t="s">
        <v>287</v>
      </c>
      <c r="G244" s="6" t="s">
        <v>287</v>
      </c>
      <c r="H244" s="6" t="s">
        <v>287</v>
      </c>
      <c r="I244" s="49">
        <f>IF(C244=I243,3,0)
+IF(D244=I243,2,0)
+IF(E244=I243,1,0)
+IF(F244=I243,1,0)
+IF(G244=I243,0.5,0)
+IF(H244=I243,0.5,0)
</f>
        <v>5</v>
      </c>
    </row>
    <row r="245">
      <c r="A245" s="57"/>
      <c r="B245" s="6" t="s">
        <v>286</v>
      </c>
      <c r="C245" s="6" t="s">
        <v>8</v>
      </c>
      <c r="D245" s="6" t="s">
        <v>353</v>
      </c>
      <c r="E245" s="6" t="s">
        <v>287</v>
      </c>
      <c r="F245" s="6" t="s">
        <v>287</v>
      </c>
      <c r="G245" s="6" t="s">
        <v>287</v>
      </c>
      <c r="H245" s="6" t="s">
        <v>287</v>
      </c>
      <c r="I245" s="49">
        <f>IF(C245="PASS",3,0)
+IF(D245="PASS",2,0)
+IF(E245="PASS",1,0)
+IF(F245="PASS",1,0)
+IF(G245="PASS",0.5,0)
+IF(H245="PASS",0.5,0)
</f>
        <v>3</v>
      </c>
    </row>
    <row r="246">
      <c r="A246" s="57"/>
      <c r="B246" s="6" t="s">
        <v>288</v>
      </c>
      <c r="C246" s="6" t="s">
        <v>8</v>
      </c>
      <c r="D246" s="6" t="s">
        <v>8</v>
      </c>
      <c r="E246" s="51" t="s">
        <v>289</v>
      </c>
      <c r="F246" s="51" t="s">
        <v>289</v>
      </c>
      <c r="G246" s="51" t="s">
        <v>289</v>
      </c>
      <c r="H246" s="51" t="s">
        <v>289</v>
      </c>
      <c r="I246" s="49">
        <f t="shared" ref="I246:I247" si="29">IF(C246="PASS",3,0)
+IF(D246="PASS",2,0)</f>
        <v>5</v>
      </c>
    </row>
    <row r="247">
      <c r="A247" s="57"/>
      <c r="B247" s="6" t="s">
        <v>290</v>
      </c>
      <c r="C247" s="6" t="s">
        <v>287</v>
      </c>
      <c r="D247" s="6" t="s">
        <v>287</v>
      </c>
      <c r="E247" s="51" t="s">
        <v>289</v>
      </c>
      <c r="F247" s="51" t="s">
        <v>289</v>
      </c>
      <c r="G247" s="51" t="s">
        <v>289</v>
      </c>
      <c r="H247" s="51" t="s">
        <v>289</v>
      </c>
      <c r="I247" s="49">
        <f t="shared" si="29"/>
        <v>0</v>
      </c>
    </row>
    <row r="248">
      <c r="A248" s="57"/>
      <c r="B248" s="52" t="s">
        <v>291</v>
      </c>
      <c r="C248" s="53"/>
      <c r="D248" s="53"/>
      <c r="E248" s="53"/>
      <c r="F248" s="53"/>
      <c r="G248" s="53"/>
      <c r="H248" s="22"/>
      <c r="I248" s="49">
        <f>SUM(I244:I247)</f>
        <v>13</v>
      </c>
    </row>
    <row r="249">
      <c r="A249" s="57"/>
      <c r="B249" s="54" t="s">
        <v>292</v>
      </c>
      <c r="C249" s="53"/>
      <c r="D249" s="53"/>
      <c r="E249" s="53"/>
      <c r="F249" s="53"/>
      <c r="G249" s="53"/>
      <c r="H249" s="53"/>
      <c r="I249" s="22"/>
    </row>
    <row r="250">
      <c r="A250" s="57"/>
      <c r="B250" s="48" t="s">
        <v>293</v>
      </c>
      <c r="C250" s="48" t="s">
        <v>254</v>
      </c>
      <c r="D250" s="6" t="s">
        <v>256</v>
      </c>
      <c r="E250" s="6" t="s">
        <v>259</v>
      </c>
      <c r="F250" s="6" t="s">
        <v>262</v>
      </c>
      <c r="G250" s="49"/>
      <c r="H250" s="49"/>
      <c r="I250" s="49"/>
    </row>
    <row r="251">
      <c r="A251" s="57"/>
      <c r="B251" s="6" t="s">
        <v>294</v>
      </c>
      <c r="C251" s="6" t="s">
        <v>287</v>
      </c>
      <c r="D251" s="6" t="s">
        <v>287</v>
      </c>
      <c r="E251" s="51" t="s">
        <v>289</v>
      </c>
      <c r="F251" s="51" t="s">
        <v>289</v>
      </c>
      <c r="G251" s="49"/>
      <c r="H251" s="49"/>
      <c r="I251" s="49">
        <f t="shared" ref="I251:I253" si="30">IF(C251="PASS",2,0)
+IF(D251="PASS",2,0)
</f>
        <v>0</v>
      </c>
    </row>
    <row r="252">
      <c r="A252" s="57"/>
      <c r="B252" s="6" t="s">
        <v>295</v>
      </c>
      <c r="C252" s="6" t="s">
        <v>287</v>
      </c>
      <c r="D252" s="6" t="s">
        <v>287</v>
      </c>
      <c r="E252" s="51" t="s">
        <v>289</v>
      </c>
      <c r="F252" s="51" t="s">
        <v>289</v>
      </c>
      <c r="G252" s="49"/>
      <c r="H252" s="49"/>
      <c r="I252" s="49">
        <f t="shared" si="30"/>
        <v>0</v>
      </c>
    </row>
    <row r="253">
      <c r="A253" s="57"/>
      <c r="B253" s="6" t="s">
        <v>296</v>
      </c>
      <c r="C253" s="6" t="s">
        <v>287</v>
      </c>
      <c r="D253" s="6" t="s">
        <v>287</v>
      </c>
      <c r="E253" s="51" t="s">
        <v>289</v>
      </c>
      <c r="F253" s="51" t="s">
        <v>289</v>
      </c>
      <c r="G253" s="49"/>
      <c r="H253" s="49"/>
      <c r="I253" s="49">
        <f t="shared" si="30"/>
        <v>0</v>
      </c>
    </row>
    <row r="254">
      <c r="A254" s="57"/>
      <c r="B254" s="6" t="s">
        <v>297</v>
      </c>
      <c r="C254" s="6" t="s">
        <v>287</v>
      </c>
      <c r="D254" s="6" t="s">
        <v>287</v>
      </c>
      <c r="E254" s="6" t="s">
        <v>287</v>
      </c>
      <c r="F254" s="6" t="s">
        <v>287</v>
      </c>
      <c r="G254" s="49"/>
      <c r="H254" s="49"/>
      <c r="I254" s="49">
        <f>IF(C254="PASS",2,0)
+IF(D254="PASS",2,0)
+IF(E254="PASS",1,0)
+IF(F254="PASS",1,0)
</f>
        <v>0</v>
      </c>
    </row>
    <row r="255">
      <c r="A255" s="57"/>
      <c r="B255" s="52" t="s">
        <v>291</v>
      </c>
      <c r="C255" s="53"/>
      <c r="D255" s="53"/>
      <c r="E255" s="53"/>
      <c r="F255" s="53"/>
      <c r="G255" s="53"/>
      <c r="H255" s="22"/>
      <c r="I255" s="49">
        <f>SUM(I251:I254)</f>
        <v>0</v>
      </c>
    </row>
    <row r="256">
      <c r="A256" s="60"/>
      <c r="B256" s="58" t="str">
        <f>IF(I248&gt;=25,"S",IF(I248&gt;=22,"A",IF(I248&gt;=18,"B",IF(I248&gt;=14,"C","F"))))
&amp; " + " &amp;
IF(I255&gt;=18,"S",IF(I255&gt;=15,"A",IF(I255&gt;=11,"B",IF(I255&gt;=7,"C","F"))))</f>
        <v>F + F</v>
      </c>
    </row>
    <row r="259">
      <c r="A259" s="56" t="s">
        <v>429</v>
      </c>
      <c r="B259" s="47" t="s">
        <v>235</v>
      </c>
    </row>
    <row r="260">
      <c r="A260" s="57"/>
      <c r="B260" s="48" t="s">
        <v>245</v>
      </c>
      <c r="C260" s="6" t="s">
        <v>249</v>
      </c>
      <c r="D260" s="48" t="s">
        <v>251</v>
      </c>
      <c r="E260" s="48" t="s">
        <v>254</v>
      </c>
      <c r="F260" s="6" t="s">
        <v>256</v>
      </c>
      <c r="G260" s="6" t="s">
        <v>259</v>
      </c>
      <c r="H260" s="6" t="s">
        <v>262</v>
      </c>
      <c r="I260" s="49" t="str">
        <f>IF(COUNTIF(C261:E261,"UP") &gt;= COUNTIF(C261:E261,"DOWN"), "UP", "DOWN")</f>
        <v>UP</v>
      </c>
    </row>
    <row r="261">
      <c r="A261" s="57"/>
      <c r="B261" s="6" t="s">
        <v>273</v>
      </c>
      <c r="C261" s="6" t="s">
        <v>279</v>
      </c>
      <c r="D261" s="6" t="s">
        <v>279</v>
      </c>
      <c r="E261" s="6" t="s">
        <v>287</v>
      </c>
      <c r="F261" s="6" t="s">
        <v>287</v>
      </c>
      <c r="G261" s="6" t="s">
        <v>287</v>
      </c>
      <c r="H261" s="6" t="s">
        <v>287</v>
      </c>
      <c r="I261" s="49">
        <f>IF(C261=I260,3,0)
+IF(D261=I260,2,0)
+IF(E261=I260,1,0)
+IF(F261=I260,1,0)
+IF(G261=I260,0.5,0)
+IF(H261=I260,0.5,0)
</f>
        <v>5</v>
      </c>
    </row>
    <row r="262">
      <c r="A262" s="57"/>
      <c r="B262" s="6" t="s">
        <v>286</v>
      </c>
      <c r="C262" s="6" t="s">
        <v>287</v>
      </c>
      <c r="D262" s="6" t="s">
        <v>287</v>
      </c>
      <c r="E262" s="6" t="s">
        <v>287</v>
      </c>
      <c r="F262" s="6" t="s">
        <v>287</v>
      </c>
      <c r="G262" s="6" t="s">
        <v>287</v>
      </c>
      <c r="H262" s="6" t="s">
        <v>287</v>
      </c>
      <c r="I262" s="49">
        <f>IF(C262="PASS",3,0)
+IF(D262="PASS",2,0)
+IF(E262="PASS",1,0)
+IF(F262="PASS",1,0)
+IF(G262="PASS",0.5,0)
+IF(H262="PASS",0.5,0)
</f>
        <v>0</v>
      </c>
    </row>
    <row r="263">
      <c r="A263" s="57"/>
      <c r="B263" s="6" t="s">
        <v>288</v>
      </c>
      <c r="C263" s="6" t="s">
        <v>287</v>
      </c>
      <c r="D263" s="6" t="s">
        <v>287</v>
      </c>
      <c r="E263" s="51" t="s">
        <v>289</v>
      </c>
      <c r="F263" s="51" t="s">
        <v>289</v>
      </c>
      <c r="G263" s="51" t="s">
        <v>289</v>
      </c>
      <c r="H263" s="51" t="s">
        <v>289</v>
      </c>
      <c r="I263" s="49">
        <f t="shared" ref="I263:I264" si="31">IF(C263="PASS",3,0)
+IF(D263="PASS",2,0)</f>
        <v>0</v>
      </c>
    </row>
    <row r="264">
      <c r="A264" s="57"/>
      <c r="B264" s="6" t="s">
        <v>290</v>
      </c>
      <c r="C264" s="6" t="s">
        <v>287</v>
      </c>
      <c r="D264" s="6" t="s">
        <v>287</v>
      </c>
      <c r="E264" s="51" t="s">
        <v>289</v>
      </c>
      <c r="F264" s="51" t="s">
        <v>289</v>
      </c>
      <c r="G264" s="51" t="s">
        <v>289</v>
      </c>
      <c r="H264" s="51" t="s">
        <v>289</v>
      </c>
      <c r="I264" s="49">
        <f t="shared" si="31"/>
        <v>0</v>
      </c>
    </row>
    <row r="265">
      <c r="A265" s="57"/>
      <c r="B265" s="52" t="s">
        <v>291</v>
      </c>
      <c r="C265" s="53"/>
      <c r="D265" s="53"/>
      <c r="E265" s="53"/>
      <c r="F265" s="53"/>
      <c r="G265" s="53"/>
      <c r="H265" s="22"/>
      <c r="I265" s="49">
        <f>SUM(I261:I264)</f>
        <v>5</v>
      </c>
    </row>
    <row r="266">
      <c r="A266" s="57"/>
      <c r="B266" s="54" t="s">
        <v>292</v>
      </c>
      <c r="C266" s="53"/>
      <c r="D266" s="53"/>
      <c r="E266" s="53"/>
      <c r="F266" s="53"/>
      <c r="G266" s="53"/>
      <c r="H266" s="53"/>
      <c r="I266" s="22"/>
    </row>
    <row r="267">
      <c r="A267" s="57"/>
      <c r="B267" s="48" t="s">
        <v>293</v>
      </c>
      <c r="C267" s="48" t="s">
        <v>254</v>
      </c>
      <c r="D267" s="6" t="s">
        <v>256</v>
      </c>
      <c r="E267" s="6" t="s">
        <v>259</v>
      </c>
      <c r="F267" s="6" t="s">
        <v>262</v>
      </c>
      <c r="G267" s="49"/>
      <c r="H267" s="49"/>
      <c r="I267" s="49"/>
    </row>
    <row r="268">
      <c r="A268" s="57"/>
      <c r="B268" s="6" t="s">
        <v>294</v>
      </c>
      <c r="C268" s="6" t="s">
        <v>287</v>
      </c>
      <c r="D268" s="6" t="s">
        <v>287</v>
      </c>
      <c r="E268" s="51" t="s">
        <v>289</v>
      </c>
      <c r="F268" s="51" t="s">
        <v>289</v>
      </c>
      <c r="G268" s="49"/>
      <c r="H268" s="49"/>
      <c r="I268" s="49">
        <f t="shared" ref="I268:I270" si="32">IF(C268="PASS",2,0)
+IF(D268="PASS",2,0)
</f>
        <v>0</v>
      </c>
    </row>
    <row r="269">
      <c r="A269" s="57"/>
      <c r="B269" s="6" t="s">
        <v>295</v>
      </c>
      <c r="C269" s="6" t="s">
        <v>287</v>
      </c>
      <c r="D269" s="6" t="s">
        <v>287</v>
      </c>
      <c r="E269" s="51" t="s">
        <v>289</v>
      </c>
      <c r="F269" s="51" t="s">
        <v>289</v>
      </c>
      <c r="G269" s="49"/>
      <c r="H269" s="49"/>
      <c r="I269" s="49">
        <f t="shared" si="32"/>
        <v>0</v>
      </c>
    </row>
    <row r="270">
      <c r="A270" s="57"/>
      <c r="B270" s="6" t="s">
        <v>296</v>
      </c>
      <c r="C270" s="6" t="s">
        <v>287</v>
      </c>
      <c r="D270" s="6" t="s">
        <v>287</v>
      </c>
      <c r="E270" s="51" t="s">
        <v>289</v>
      </c>
      <c r="F270" s="51" t="s">
        <v>289</v>
      </c>
      <c r="G270" s="49"/>
      <c r="H270" s="49"/>
      <c r="I270" s="49">
        <f t="shared" si="32"/>
        <v>0</v>
      </c>
    </row>
    <row r="271">
      <c r="A271" s="57"/>
      <c r="B271" s="6" t="s">
        <v>297</v>
      </c>
      <c r="C271" s="6" t="s">
        <v>287</v>
      </c>
      <c r="D271" s="6" t="s">
        <v>287</v>
      </c>
      <c r="E271" s="6" t="s">
        <v>287</v>
      </c>
      <c r="F271" s="6" t="s">
        <v>287</v>
      </c>
      <c r="G271" s="49"/>
      <c r="H271" s="49"/>
      <c r="I271" s="49">
        <f>IF(C271="PASS",2,0)
+IF(D271="PASS",2,0)
+IF(E271="PASS",1,0)
+IF(F271="PASS",1,0)
</f>
        <v>0</v>
      </c>
    </row>
    <row r="272">
      <c r="A272" s="57"/>
      <c r="B272" s="52" t="s">
        <v>291</v>
      </c>
      <c r="C272" s="53"/>
      <c r="D272" s="53"/>
      <c r="E272" s="53"/>
      <c r="F272" s="53"/>
      <c r="G272" s="53"/>
      <c r="H272" s="22"/>
      <c r="I272" s="49">
        <f>SUM(I268:I271)</f>
        <v>0</v>
      </c>
    </row>
    <row r="273">
      <c r="A273" s="60"/>
      <c r="B273" s="58" t="str">
        <f>IF(I265&gt;=25,"S",IF(I265&gt;=22,"A",IF(I265&gt;=18,"B",IF(I265&gt;=14,"C","F"))))
&amp; " + " &amp;
IF(I272&gt;=18,"S",IF(I272&gt;=15,"A",IF(I272&gt;=11,"B",IF(I272&gt;=7,"C","F"))))</f>
        <v>F + F</v>
      </c>
    </row>
    <row r="276">
      <c r="A276" s="56" t="s">
        <v>442</v>
      </c>
      <c r="B276" s="47" t="s">
        <v>235</v>
      </c>
    </row>
    <row r="277">
      <c r="A277" s="57"/>
      <c r="B277" s="48" t="s">
        <v>245</v>
      </c>
      <c r="C277" s="6" t="s">
        <v>249</v>
      </c>
      <c r="D277" s="48" t="s">
        <v>251</v>
      </c>
      <c r="E277" s="48" t="s">
        <v>254</v>
      </c>
      <c r="F277" s="6" t="s">
        <v>256</v>
      </c>
      <c r="G277" s="6" t="s">
        <v>259</v>
      </c>
      <c r="H277" s="6" t="s">
        <v>262</v>
      </c>
      <c r="I277" s="49" t="str">
        <f>IF(COUNTIF(C278:E278,"UP") &gt;= COUNTIF(C278:E278,"DOWN"), "UP", "DOWN")</f>
        <v>DOWN</v>
      </c>
    </row>
    <row r="278">
      <c r="A278" s="57"/>
      <c r="B278" s="6" t="s">
        <v>273</v>
      </c>
      <c r="C278" s="6" t="s">
        <v>276</v>
      </c>
      <c r="D278" s="6" t="s">
        <v>276</v>
      </c>
      <c r="E278" s="6" t="s">
        <v>287</v>
      </c>
      <c r="F278" s="6" t="s">
        <v>287</v>
      </c>
      <c r="G278" s="6" t="s">
        <v>287</v>
      </c>
      <c r="H278" s="6" t="s">
        <v>287</v>
      </c>
      <c r="I278" s="49">
        <f>IF(C278=I277,3,0)
+IF(D278=I277,2,0)
+IF(E278=I277,1,0)
+IF(F278=I277,1,0)
+IF(G278=I277,0.5,0)
+IF(H278=I277,0.5,0)
</f>
        <v>5</v>
      </c>
    </row>
    <row r="279">
      <c r="A279" s="57"/>
      <c r="B279" s="6" t="s">
        <v>286</v>
      </c>
      <c r="C279" s="6" t="s">
        <v>287</v>
      </c>
      <c r="D279" s="6" t="s">
        <v>287</v>
      </c>
      <c r="E279" s="6" t="s">
        <v>287</v>
      </c>
      <c r="F279" s="6" t="s">
        <v>287</v>
      </c>
      <c r="G279" s="6" t="s">
        <v>287</v>
      </c>
      <c r="H279" s="6" t="s">
        <v>287</v>
      </c>
      <c r="I279" s="49">
        <f>IF(C279="PASS",3,0)
+IF(D279="PASS",2,0)
+IF(E279="PASS",1,0)
+IF(F279="PASS",1,0)
+IF(G279="PASS",0.5,0)
+IF(H279="PASS",0.5,0)
</f>
        <v>0</v>
      </c>
    </row>
    <row r="280">
      <c r="A280" s="57"/>
      <c r="B280" s="6" t="s">
        <v>288</v>
      </c>
      <c r="C280" s="6" t="s">
        <v>287</v>
      </c>
      <c r="D280" s="6" t="s">
        <v>287</v>
      </c>
      <c r="E280" s="51" t="s">
        <v>289</v>
      </c>
      <c r="F280" s="51" t="s">
        <v>289</v>
      </c>
      <c r="G280" s="51" t="s">
        <v>289</v>
      </c>
      <c r="H280" s="51" t="s">
        <v>289</v>
      </c>
      <c r="I280" s="49">
        <f t="shared" ref="I280:I281" si="33">IF(C280="PASS",3,0)
+IF(D280="PASS",2,0)</f>
        <v>0</v>
      </c>
    </row>
    <row r="281">
      <c r="A281" s="57"/>
      <c r="B281" s="6" t="s">
        <v>290</v>
      </c>
      <c r="C281" s="6" t="s">
        <v>287</v>
      </c>
      <c r="D281" s="6" t="s">
        <v>287</v>
      </c>
      <c r="E281" s="51" t="s">
        <v>289</v>
      </c>
      <c r="F281" s="51" t="s">
        <v>289</v>
      </c>
      <c r="G281" s="51" t="s">
        <v>289</v>
      </c>
      <c r="H281" s="51" t="s">
        <v>289</v>
      </c>
      <c r="I281" s="49">
        <f t="shared" si="33"/>
        <v>0</v>
      </c>
    </row>
    <row r="282">
      <c r="A282" s="57"/>
      <c r="B282" s="52" t="s">
        <v>291</v>
      </c>
      <c r="C282" s="53"/>
      <c r="D282" s="53"/>
      <c r="E282" s="53"/>
      <c r="F282" s="53"/>
      <c r="G282" s="53"/>
      <c r="H282" s="22"/>
      <c r="I282" s="49">
        <f>SUM(I278:I281)</f>
        <v>5</v>
      </c>
    </row>
    <row r="283">
      <c r="A283" s="57"/>
      <c r="B283" s="54" t="s">
        <v>292</v>
      </c>
      <c r="C283" s="53"/>
      <c r="D283" s="53"/>
      <c r="E283" s="53"/>
      <c r="F283" s="53"/>
      <c r="G283" s="53"/>
      <c r="H283" s="53"/>
      <c r="I283" s="22"/>
    </row>
    <row r="284">
      <c r="A284" s="57"/>
      <c r="B284" s="48" t="s">
        <v>293</v>
      </c>
      <c r="C284" s="48" t="s">
        <v>254</v>
      </c>
      <c r="D284" s="6" t="s">
        <v>256</v>
      </c>
      <c r="E284" s="6" t="s">
        <v>259</v>
      </c>
      <c r="F284" s="6" t="s">
        <v>262</v>
      </c>
      <c r="G284" s="49"/>
      <c r="H284" s="49"/>
      <c r="I284" s="49"/>
    </row>
    <row r="285">
      <c r="A285" s="57"/>
      <c r="B285" s="6" t="s">
        <v>294</v>
      </c>
      <c r="C285" s="6" t="s">
        <v>287</v>
      </c>
      <c r="D285" s="6" t="s">
        <v>287</v>
      </c>
      <c r="E285" s="51" t="s">
        <v>289</v>
      </c>
      <c r="F285" s="51" t="s">
        <v>289</v>
      </c>
      <c r="G285" s="49"/>
      <c r="H285" s="49"/>
      <c r="I285" s="49">
        <f t="shared" ref="I285:I287" si="34">IF(C285="PASS",2,0)
+IF(D285="PASS",2,0)
</f>
        <v>0</v>
      </c>
    </row>
    <row r="286">
      <c r="A286" s="57"/>
      <c r="B286" s="6" t="s">
        <v>295</v>
      </c>
      <c r="C286" s="6" t="s">
        <v>287</v>
      </c>
      <c r="D286" s="6" t="s">
        <v>287</v>
      </c>
      <c r="E286" s="51" t="s">
        <v>289</v>
      </c>
      <c r="F286" s="51" t="s">
        <v>289</v>
      </c>
      <c r="G286" s="49"/>
      <c r="H286" s="49"/>
      <c r="I286" s="49">
        <f t="shared" si="34"/>
        <v>0</v>
      </c>
    </row>
    <row r="287">
      <c r="A287" s="57"/>
      <c r="B287" s="6" t="s">
        <v>296</v>
      </c>
      <c r="C287" s="6" t="s">
        <v>287</v>
      </c>
      <c r="D287" s="6" t="s">
        <v>287</v>
      </c>
      <c r="E287" s="51" t="s">
        <v>289</v>
      </c>
      <c r="F287" s="51" t="s">
        <v>289</v>
      </c>
      <c r="G287" s="49"/>
      <c r="H287" s="49"/>
      <c r="I287" s="49">
        <f t="shared" si="34"/>
        <v>0</v>
      </c>
    </row>
    <row r="288">
      <c r="A288" s="57"/>
      <c r="B288" s="6" t="s">
        <v>297</v>
      </c>
      <c r="C288" s="6" t="s">
        <v>287</v>
      </c>
      <c r="D288" s="6" t="s">
        <v>287</v>
      </c>
      <c r="E288" s="6" t="s">
        <v>287</v>
      </c>
      <c r="F288" s="6" t="s">
        <v>287</v>
      </c>
      <c r="G288" s="49"/>
      <c r="H288" s="49"/>
      <c r="I288" s="49">
        <f>IF(C288="PASS",2,0)
+IF(D288="PASS",2,0)
+IF(E288="PASS",1,0)
+IF(F288="PASS",1,0)
</f>
        <v>0</v>
      </c>
    </row>
    <row r="289">
      <c r="A289" s="57"/>
      <c r="B289" s="52" t="s">
        <v>291</v>
      </c>
      <c r="C289" s="53"/>
      <c r="D289" s="53"/>
      <c r="E289" s="53"/>
      <c r="F289" s="53"/>
      <c r="G289" s="53"/>
      <c r="H289" s="22"/>
      <c r="I289" s="49">
        <f>SUM(I285:I288)</f>
        <v>0</v>
      </c>
    </row>
    <row r="290">
      <c r="A290" s="60"/>
      <c r="B290" s="58" t="str">
        <f>IF(I282&gt;=25,"S",IF(I282&gt;=22,"A",IF(I282&gt;=18,"B",IF(I282&gt;=14,"C","F"))))
&amp; " + " &amp;
IF(I289&gt;=18,"S",IF(I289&gt;=15,"A",IF(I289&gt;=11,"B",IF(I289&gt;=7,"C","F"))))</f>
        <v>F + F</v>
      </c>
    </row>
    <row r="293">
      <c r="A293" s="56" t="s">
        <v>447</v>
      </c>
      <c r="B293" s="47" t="s">
        <v>235</v>
      </c>
    </row>
    <row r="294">
      <c r="A294" s="57"/>
      <c r="B294" s="48" t="s">
        <v>245</v>
      </c>
      <c r="C294" s="6" t="s">
        <v>249</v>
      </c>
      <c r="D294" s="48" t="s">
        <v>251</v>
      </c>
      <c r="E294" s="48" t="s">
        <v>254</v>
      </c>
      <c r="F294" s="6" t="s">
        <v>256</v>
      </c>
      <c r="G294" s="6" t="s">
        <v>259</v>
      </c>
      <c r="H294" s="6" t="s">
        <v>262</v>
      </c>
      <c r="I294" s="49" t="str">
        <f>IF(COUNTIF(C295:E295,"UP") &gt;= COUNTIF(C295:E295,"DOWN"), "UP", "DOWN")</f>
        <v>UP</v>
      </c>
    </row>
    <row r="295">
      <c r="A295" s="57"/>
      <c r="B295" s="6" t="s">
        <v>273</v>
      </c>
      <c r="C295" s="6" t="s">
        <v>279</v>
      </c>
      <c r="D295" s="6" t="s">
        <v>276</v>
      </c>
      <c r="E295" s="6" t="s">
        <v>287</v>
      </c>
      <c r="F295" s="6" t="s">
        <v>287</v>
      </c>
      <c r="G295" s="6" t="s">
        <v>287</v>
      </c>
      <c r="H295" s="6" t="s">
        <v>287</v>
      </c>
      <c r="I295" s="49">
        <f>IF(C295=I294,3,0)
+IF(D295=I294,2,0)
+IF(E295=I294,1,0)
+IF(F295=I294,1,0)
+IF(G295=I294,0.5,0)
+IF(H295=I294,0.5,0)
</f>
        <v>3</v>
      </c>
    </row>
    <row r="296">
      <c r="A296" s="57"/>
      <c r="B296" s="6" t="s">
        <v>286</v>
      </c>
      <c r="C296" s="6" t="s">
        <v>287</v>
      </c>
      <c r="D296" s="6" t="s">
        <v>287</v>
      </c>
      <c r="E296" s="6" t="s">
        <v>287</v>
      </c>
      <c r="F296" s="6" t="s">
        <v>287</v>
      </c>
      <c r="G296" s="6" t="s">
        <v>287</v>
      </c>
      <c r="H296" s="6" t="s">
        <v>287</v>
      </c>
      <c r="I296" s="49">
        <f>IF(C296="PASS",3,0)
+IF(D296="PASS",2,0)
+IF(E296="PASS",1,0)
+IF(F296="PASS",1,0)
+IF(G296="PASS",0.5,0)
+IF(H296="PASS",0.5,0)
</f>
        <v>0</v>
      </c>
    </row>
    <row r="297">
      <c r="A297" s="57"/>
      <c r="B297" s="6" t="s">
        <v>288</v>
      </c>
      <c r="C297" s="6" t="s">
        <v>287</v>
      </c>
      <c r="D297" s="6" t="s">
        <v>287</v>
      </c>
      <c r="E297" s="51" t="s">
        <v>289</v>
      </c>
      <c r="F297" s="51" t="s">
        <v>289</v>
      </c>
      <c r="G297" s="51" t="s">
        <v>289</v>
      </c>
      <c r="H297" s="51" t="s">
        <v>289</v>
      </c>
      <c r="I297" s="49">
        <f t="shared" ref="I297:I298" si="35">IF(C297="PASS",3,0)
+IF(D297="PASS",2,0)</f>
        <v>0</v>
      </c>
    </row>
    <row r="298">
      <c r="A298" s="57"/>
      <c r="B298" s="6" t="s">
        <v>290</v>
      </c>
      <c r="C298" s="6" t="s">
        <v>287</v>
      </c>
      <c r="D298" s="6" t="s">
        <v>287</v>
      </c>
      <c r="E298" s="51" t="s">
        <v>289</v>
      </c>
      <c r="F298" s="51" t="s">
        <v>289</v>
      </c>
      <c r="G298" s="51" t="s">
        <v>289</v>
      </c>
      <c r="H298" s="51" t="s">
        <v>289</v>
      </c>
      <c r="I298" s="49">
        <f t="shared" si="35"/>
        <v>0</v>
      </c>
    </row>
    <row r="299">
      <c r="A299" s="57"/>
      <c r="B299" s="52" t="s">
        <v>291</v>
      </c>
      <c r="C299" s="53"/>
      <c r="D299" s="53"/>
      <c r="E299" s="53"/>
      <c r="F299" s="53"/>
      <c r="G299" s="53"/>
      <c r="H299" s="22"/>
      <c r="I299" s="49">
        <f>SUM(I295:I298)</f>
        <v>3</v>
      </c>
    </row>
    <row r="300">
      <c r="A300" s="57"/>
      <c r="B300" s="54" t="s">
        <v>292</v>
      </c>
      <c r="C300" s="53"/>
      <c r="D300" s="53"/>
      <c r="E300" s="53"/>
      <c r="F300" s="53"/>
      <c r="G300" s="53"/>
      <c r="H300" s="53"/>
      <c r="I300" s="22"/>
    </row>
    <row r="301">
      <c r="A301" s="57"/>
      <c r="B301" s="48" t="s">
        <v>293</v>
      </c>
      <c r="C301" s="48" t="s">
        <v>254</v>
      </c>
      <c r="D301" s="6" t="s">
        <v>256</v>
      </c>
      <c r="E301" s="6" t="s">
        <v>259</v>
      </c>
      <c r="F301" s="6" t="s">
        <v>262</v>
      </c>
      <c r="G301" s="49"/>
      <c r="H301" s="49"/>
      <c r="I301" s="49"/>
    </row>
    <row r="302">
      <c r="A302" s="57"/>
      <c r="B302" s="6" t="s">
        <v>294</v>
      </c>
      <c r="C302" s="6" t="s">
        <v>287</v>
      </c>
      <c r="D302" s="6" t="s">
        <v>287</v>
      </c>
      <c r="E302" s="51" t="s">
        <v>289</v>
      </c>
      <c r="F302" s="51" t="s">
        <v>289</v>
      </c>
      <c r="G302" s="49"/>
      <c r="H302" s="49"/>
      <c r="I302" s="49">
        <f t="shared" ref="I302:I304" si="36">IF(C302="PASS",2,0)
+IF(D302="PASS",2,0)
</f>
        <v>0</v>
      </c>
    </row>
    <row r="303">
      <c r="A303" s="57"/>
      <c r="B303" s="6" t="s">
        <v>295</v>
      </c>
      <c r="C303" s="6" t="s">
        <v>287</v>
      </c>
      <c r="D303" s="6" t="s">
        <v>287</v>
      </c>
      <c r="E303" s="51" t="s">
        <v>289</v>
      </c>
      <c r="F303" s="51" t="s">
        <v>289</v>
      </c>
      <c r="G303" s="49"/>
      <c r="H303" s="49"/>
      <c r="I303" s="49">
        <f t="shared" si="36"/>
        <v>0</v>
      </c>
    </row>
    <row r="304">
      <c r="A304" s="57"/>
      <c r="B304" s="6" t="s">
        <v>296</v>
      </c>
      <c r="C304" s="6" t="s">
        <v>287</v>
      </c>
      <c r="D304" s="6" t="s">
        <v>287</v>
      </c>
      <c r="E304" s="51" t="s">
        <v>289</v>
      </c>
      <c r="F304" s="51" t="s">
        <v>289</v>
      </c>
      <c r="G304" s="49"/>
      <c r="H304" s="49"/>
      <c r="I304" s="49">
        <f t="shared" si="36"/>
        <v>0</v>
      </c>
    </row>
    <row r="305">
      <c r="A305" s="57"/>
      <c r="B305" s="6" t="s">
        <v>297</v>
      </c>
      <c r="C305" s="6" t="s">
        <v>287</v>
      </c>
      <c r="D305" s="6" t="s">
        <v>287</v>
      </c>
      <c r="E305" s="6" t="s">
        <v>287</v>
      </c>
      <c r="F305" s="6" t="s">
        <v>287</v>
      </c>
      <c r="G305" s="49"/>
      <c r="H305" s="49"/>
      <c r="I305" s="49">
        <f>IF(C305="PASS",2,0)
+IF(D305="PASS",2,0)
+IF(E305="PASS",1,0)
+IF(F305="PASS",1,0)
</f>
        <v>0</v>
      </c>
    </row>
    <row r="306">
      <c r="A306" s="57"/>
      <c r="B306" s="52" t="s">
        <v>291</v>
      </c>
      <c r="C306" s="53"/>
      <c r="D306" s="53"/>
      <c r="E306" s="53"/>
      <c r="F306" s="53"/>
      <c r="G306" s="53"/>
      <c r="H306" s="22"/>
      <c r="I306" s="49">
        <f>SUM(I302:I305)</f>
        <v>0</v>
      </c>
    </row>
    <row r="307">
      <c r="A307" s="60"/>
      <c r="B307" s="58" t="str">
        <f>IF(I299&gt;=25,"S",IF(I299&gt;=22,"A",IF(I299&gt;=18,"B",IF(I299&gt;=14,"C","F"))))
&amp; " + " &amp;
IF(I306&gt;=18,"S",IF(I306&gt;=15,"A",IF(I306&gt;=11,"B",IF(I306&gt;=7,"C","F"))))</f>
        <v>F + F</v>
      </c>
    </row>
    <row r="310">
      <c r="A310" s="56" t="s">
        <v>452</v>
      </c>
      <c r="B310" s="47" t="s">
        <v>235</v>
      </c>
    </row>
    <row r="311">
      <c r="A311" s="57"/>
      <c r="B311" s="48" t="s">
        <v>245</v>
      </c>
      <c r="C311" s="6" t="s">
        <v>249</v>
      </c>
      <c r="D311" s="48" t="s">
        <v>251</v>
      </c>
      <c r="E311" s="48" t="s">
        <v>254</v>
      </c>
      <c r="F311" s="6" t="s">
        <v>256</v>
      </c>
      <c r="G311" s="6" t="s">
        <v>259</v>
      </c>
      <c r="H311" s="6" t="s">
        <v>262</v>
      </c>
      <c r="I311" s="49" t="str">
        <f>IF(COUNTIF(C312:E312,"UP") &gt;= COUNTIF(C312:E312,"DOWN"), "UP", "DOWN")</f>
        <v>UP</v>
      </c>
    </row>
    <row r="312">
      <c r="A312" s="57"/>
      <c r="B312" s="6" t="s">
        <v>273</v>
      </c>
      <c r="C312" s="6" t="s">
        <v>279</v>
      </c>
      <c r="D312" s="6" t="s">
        <v>279</v>
      </c>
      <c r="E312" s="6" t="s">
        <v>287</v>
      </c>
      <c r="F312" s="6" t="s">
        <v>287</v>
      </c>
      <c r="G312" s="6" t="s">
        <v>287</v>
      </c>
      <c r="H312" s="6" t="s">
        <v>287</v>
      </c>
      <c r="I312" s="49">
        <f>IF(C312=I311,3,0)
+IF(D312=I311,2,0)
+IF(E312=I311,1,0)
+IF(F312=I311,1,0)
+IF(G312=I311,0.5,0)
+IF(H312=I311,0.5,0)
</f>
        <v>5</v>
      </c>
    </row>
    <row r="313">
      <c r="A313" s="57"/>
      <c r="B313" s="6" t="s">
        <v>286</v>
      </c>
      <c r="C313" s="6" t="s">
        <v>287</v>
      </c>
      <c r="D313" s="6" t="s">
        <v>287</v>
      </c>
      <c r="E313" s="6" t="s">
        <v>287</v>
      </c>
      <c r="F313" s="6" t="s">
        <v>287</v>
      </c>
      <c r="G313" s="6" t="s">
        <v>287</v>
      </c>
      <c r="H313" s="6" t="s">
        <v>287</v>
      </c>
      <c r="I313" s="49">
        <f>IF(C313="PASS",3,0)
+IF(D313="PASS",2,0)
+IF(E313="PASS",1,0)
+IF(F313="PASS",1,0)
+IF(G313="PASS",0.5,0)
+IF(H313="PASS",0.5,0)
</f>
        <v>0</v>
      </c>
    </row>
    <row r="314">
      <c r="A314" s="57"/>
      <c r="B314" s="6" t="s">
        <v>288</v>
      </c>
      <c r="C314" s="6" t="s">
        <v>287</v>
      </c>
      <c r="D314" s="6" t="s">
        <v>287</v>
      </c>
      <c r="E314" s="51" t="s">
        <v>289</v>
      </c>
      <c r="F314" s="51" t="s">
        <v>289</v>
      </c>
      <c r="G314" s="51" t="s">
        <v>289</v>
      </c>
      <c r="H314" s="51" t="s">
        <v>289</v>
      </c>
      <c r="I314" s="49">
        <f t="shared" ref="I314:I315" si="37">IF(C314="PASS",3,0)
+IF(D314="PASS",2,0)</f>
        <v>0</v>
      </c>
    </row>
    <row r="315">
      <c r="A315" s="57"/>
      <c r="B315" s="6" t="s">
        <v>290</v>
      </c>
      <c r="C315" s="6" t="s">
        <v>287</v>
      </c>
      <c r="D315" s="6" t="s">
        <v>287</v>
      </c>
      <c r="E315" s="51" t="s">
        <v>289</v>
      </c>
      <c r="F315" s="51" t="s">
        <v>289</v>
      </c>
      <c r="G315" s="51" t="s">
        <v>289</v>
      </c>
      <c r="H315" s="51" t="s">
        <v>289</v>
      </c>
      <c r="I315" s="49">
        <f t="shared" si="37"/>
        <v>0</v>
      </c>
    </row>
    <row r="316">
      <c r="A316" s="57"/>
      <c r="B316" s="52" t="s">
        <v>291</v>
      </c>
      <c r="C316" s="53"/>
      <c r="D316" s="53"/>
      <c r="E316" s="53"/>
      <c r="F316" s="53"/>
      <c r="G316" s="53"/>
      <c r="H316" s="22"/>
      <c r="I316" s="49">
        <f>SUM(I312:I315)</f>
        <v>5</v>
      </c>
    </row>
    <row r="317">
      <c r="A317" s="57"/>
      <c r="B317" s="54" t="s">
        <v>292</v>
      </c>
      <c r="C317" s="53"/>
      <c r="D317" s="53"/>
      <c r="E317" s="53"/>
      <c r="F317" s="53"/>
      <c r="G317" s="53"/>
      <c r="H317" s="53"/>
      <c r="I317" s="22"/>
    </row>
    <row r="318">
      <c r="A318" s="57"/>
      <c r="B318" s="48" t="s">
        <v>293</v>
      </c>
      <c r="C318" s="48" t="s">
        <v>254</v>
      </c>
      <c r="D318" s="6" t="s">
        <v>256</v>
      </c>
      <c r="E318" s="6" t="s">
        <v>259</v>
      </c>
      <c r="F318" s="6" t="s">
        <v>262</v>
      </c>
      <c r="G318" s="49"/>
      <c r="H318" s="49"/>
      <c r="I318" s="49"/>
    </row>
    <row r="319">
      <c r="A319" s="57"/>
      <c r="B319" s="6" t="s">
        <v>294</v>
      </c>
      <c r="C319" s="6" t="s">
        <v>287</v>
      </c>
      <c r="D319" s="6" t="s">
        <v>287</v>
      </c>
      <c r="E319" s="51" t="s">
        <v>289</v>
      </c>
      <c r="F319" s="51" t="s">
        <v>289</v>
      </c>
      <c r="G319" s="49"/>
      <c r="H319" s="49"/>
      <c r="I319" s="49">
        <f t="shared" ref="I319:I321" si="38">IF(C319="PASS",2,0)
+IF(D319="PASS",2,0)
</f>
        <v>0</v>
      </c>
    </row>
    <row r="320">
      <c r="A320" s="57"/>
      <c r="B320" s="6" t="s">
        <v>295</v>
      </c>
      <c r="C320" s="6" t="s">
        <v>287</v>
      </c>
      <c r="D320" s="6" t="s">
        <v>287</v>
      </c>
      <c r="E320" s="51" t="s">
        <v>289</v>
      </c>
      <c r="F320" s="51" t="s">
        <v>289</v>
      </c>
      <c r="G320" s="49"/>
      <c r="H320" s="49"/>
      <c r="I320" s="49">
        <f t="shared" si="38"/>
        <v>0</v>
      </c>
    </row>
    <row r="321">
      <c r="A321" s="57"/>
      <c r="B321" s="6" t="s">
        <v>296</v>
      </c>
      <c r="C321" s="6" t="s">
        <v>287</v>
      </c>
      <c r="D321" s="6" t="s">
        <v>287</v>
      </c>
      <c r="E321" s="51" t="s">
        <v>289</v>
      </c>
      <c r="F321" s="51" t="s">
        <v>289</v>
      </c>
      <c r="G321" s="49"/>
      <c r="H321" s="49"/>
      <c r="I321" s="49">
        <f t="shared" si="38"/>
        <v>0</v>
      </c>
    </row>
    <row r="322">
      <c r="A322" s="57"/>
      <c r="B322" s="6" t="s">
        <v>297</v>
      </c>
      <c r="C322" s="6" t="s">
        <v>287</v>
      </c>
      <c r="D322" s="6" t="s">
        <v>287</v>
      </c>
      <c r="E322" s="6" t="s">
        <v>287</v>
      </c>
      <c r="F322" s="6" t="s">
        <v>287</v>
      </c>
      <c r="G322" s="49"/>
      <c r="H322" s="49"/>
      <c r="I322" s="49">
        <f>IF(C322="PASS",2,0)
+IF(D322="PASS",2,0)
+IF(E322="PASS",1,0)
+IF(F322="PASS",1,0)
</f>
        <v>0</v>
      </c>
    </row>
    <row r="323">
      <c r="A323" s="57"/>
      <c r="B323" s="52" t="s">
        <v>291</v>
      </c>
      <c r="C323" s="53"/>
      <c r="D323" s="53"/>
      <c r="E323" s="53"/>
      <c r="F323" s="53"/>
      <c r="G323" s="53"/>
      <c r="H323" s="22"/>
      <c r="I323" s="49">
        <f>SUM(I319:I322)</f>
        <v>0</v>
      </c>
    </row>
    <row r="324">
      <c r="A324" s="60"/>
      <c r="B324" s="58" t="str">
        <f>IF(I316&gt;=25,"S",IF(I316&gt;=22,"A",IF(I316&gt;=18,"B",IF(I316&gt;=14,"C","F"))))
&amp; " + " &amp;
IF(I323&gt;=18,"S",IF(I323&gt;=15,"A",IF(I323&gt;=11,"B",IF(I323&gt;=7,"C","F"))))</f>
        <v>F + F</v>
      </c>
    </row>
  </sheetData>
  <mergeCells count="114">
    <mergeCell ref="B136:H136"/>
    <mergeCell ref="B137:I137"/>
    <mergeCell ref="B112:H112"/>
    <mergeCell ref="B113:I113"/>
    <mergeCell ref="B119:H119"/>
    <mergeCell ref="B120:I120"/>
    <mergeCell ref="B123:I123"/>
    <mergeCell ref="B129:H129"/>
    <mergeCell ref="B130:I130"/>
    <mergeCell ref="A22:A35"/>
    <mergeCell ref="A38:A52"/>
    <mergeCell ref="A55:A69"/>
    <mergeCell ref="A72:A86"/>
    <mergeCell ref="A89:A103"/>
    <mergeCell ref="A106:A120"/>
    <mergeCell ref="A123:A137"/>
    <mergeCell ref="A259:A273"/>
    <mergeCell ref="A276:A290"/>
    <mergeCell ref="A293:A307"/>
    <mergeCell ref="A310:A324"/>
    <mergeCell ref="A140:A154"/>
    <mergeCell ref="A157:A171"/>
    <mergeCell ref="A174:A188"/>
    <mergeCell ref="A191:A205"/>
    <mergeCell ref="A208:A222"/>
    <mergeCell ref="A225:A239"/>
    <mergeCell ref="A242:A256"/>
    <mergeCell ref="B164:I164"/>
    <mergeCell ref="B170:H170"/>
    <mergeCell ref="B171:I171"/>
    <mergeCell ref="B174:I174"/>
    <mergeCell ref="B180:H180"/>
    <mergeCell ref="B181:I181"/>
    <mergeCell ref="B187:H187"/>
    <mergeCell ref="B188:I188"/>
    <mergeCell ref="B191:I191"/>
    <mergeCell ref="B197:H197"/>
    <mergeCell ref="B198:I198"/>
    <mergeCell ref="B204:H204"/>
    <mergeCell ref="B205:I205"/>
    <mergeCell ref="B208:I208"/>
    <mergeCell ref="B214:H214"/>
    <mergeCell ref="B215:I215"/>
    <mergeCell ref="B221:H221"/>
    <mergeCell ref="B222:I222"/>
    <mergeCell ref="B225:I225"/>
    <mergeCell ref="B231:H231"/>
    <mergeCell ref="B232:I232"/>
    <mergeCell ref="B238:H238"/>
    <mergeCell ref="B239:I239"/>
    <mergeCell ref="B242:I242"/>
    <mergeCell ref="B248:H248"/>
    <mergeCell ref="B249:I249"/>
    <mergeCell ref="B255:H255"/>
    <mergeCell ref="B256:I256"/>
    <mergeCell ref="B259:I259"/>
    <mergeCell ref="B265:H265"/>
    <mergeCell ref="B266:I266"/>
    <mergeCell ref="B272:H272"/>
    <mergeCell ref="B273:I273"/>
    <mergeCell ref="B276:I276"/>
    <mergeCell ref="B282:H282"/>
    <mergeCell ref="B307:I307"/>
    <mergeCell ref="B310:I310"/>
    <mergeCell ref="B316:H316"/>
    <mergeCell ref="B317:I317"/>
    <mergeCell ref="B323:H323"/>
    <mergeCell ref="B324:I324"/>
    <mergeCell ref="B283:I283"/>
    <mergeCell ref="B289:H289"/>
    <mergeCell ref="B290:I290"/>
    <mergeCell ref="B293:I293"/>
    <mergeCell ref="B299:H299"/>
    <mergeCell ref="B300:I300"/>
    <mergeCell ref="B306:H306"/>
    <mergeCell ref="B21:I21"/>
    <mergeCell ref="B27:H27"/>
    <mergeCell ref="B28:I28"/>
    <mergeCell ref="B34:H34"/>
    <mergeCell ref="B3:I3"/>
    <mergeCell ref="A4:A17"/>
    <mergeCell ref="B9:H9"/>
    <mergeCell ref="B10:I10"/>
    <mergeCell ref="B16:H16"/>
    <mergeCell ref="B17:I17"/>
    <mergeCell ref="B35:I35"/>
    <mergeCell ref="B38:I38"/>
    <mergeCell ref="B44:H44"/>
    <mergeCell ref="B45:I45"/>
    <mergeCell ref="B51:H51"/>
    <mergeCell ref="B52:I52"/>
    <mergeCell ref="B55:I55"/>
    <mergeCell ref="B61:H61"/>
    <mergeCell ref="B62:I62"/>
    <mergeCell ref="B68:H68"/>
    <mergeCell ref="B69:I69"/>
    <mergeCell ref="B72:I72"/>
    <mergeCell ref="B78:H78"/>
    <mergeCell ref="B79:I79"/>
    <mergeCell ref="B85:H85"/>
    <mergeCell ref="B86:I86"/>
    <mergeCell ref="B89:I89"/>
    <mergeCell ref="B95:H95"/>
    <mergeCell ref="B96:I96"/>
    <mergeCell ref="B102:H102"/>
    <mergeCell ref="B103:I103"/>
    <mergeCell ref="B106:I106"/>
    <mergeCell ref="B140:I140"/>
    <mergeCell ref="B146:H146"/>
    <mergeCell ref="B147:I147"/>
    <mergeCell ref="B153:H153"/>
    <mergeCell ref="B154:I154"/>
    <mergeCell ref="B157:I157"/>
    <mergeCell ref="B163:H163"/>
  </mergeCells>
  <dataValidations>
    <dataValidation type="list" allowBlank="1" showErrorMessage="1" sqref="C5:H5 C23:H23 C40:H40 C57:H57 C74:H74 C91:H91 C108:H108 C125:H125 C142:H142 C159:H159 C176:H176 C193:H193 C210:H210 C227:H227 C244:H244 C261:H261 C278:H278 C295:H295 C312:H312">
      <formula1>"UP,DOWN,Waiting"</formula1>
    </dataValidation>
    <dataValidation type="list" allowBlank="1" showErrorMessage="1" sqref="C6:H6 C7:D8 C12:D14 C15:F15 C24:H24 C25:D26 C30:D32 C33:F33 C41:H41 C42:D43 C47:D49 C50:F50 C58:H58 C59:D60 C64:D66 C67:F67 C75:H75 C76:D77 C81:D83 C84:F84 C92:H92 C93:D94 C98:D100 C101:F101 C109:H109 C110:D111 C115:D117 C118:F118 C126:H126 C127:D128 C132:D134 C135:F135 C143:H143 C144:D145 C149:D151 C152:F152 C160:H160 C161:D162 C166:D168 C169:F169 C177:H177 C178:D179 C183:D185 C186:F186 C194:H194 C195:D196 C200:D202 C203:F203 C211:H211 C212:D213 C217:D219 C220:F220 C228:H228 C229:D230 C234:D236 C237:F237 C245:H245 C246:D247 C251:D253 C254:F254 C262:H262 C263:D264 C268:D270 C271:F271 C279:H279 C280:D281 C285:D287 C288:F288 C296:H296 C297:D298 C302:D304 C305:F305 C313:H313 C314:D315 C319:D321 C322:F322">
      <formula1>"PASS,FAIL,Waiting"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0"/>
  <sheetData>
    <row r="1">
      <c r="A1" s="3" t="s">
        <v>302</v>
      </c>
      <c r="B1" s="3" t="s">
        <v>303</v>
      </c>
      <c r="C1" s="3" t="s">
        <v>304</v>
      </c>
      <c r="D1" s="61">
        <v>46009.0</v>
      </c>
      <c r="E1" s="62">
        <v>0.6722222222222223</v>
      </c>
    </row>
    <row r="2">
      <c r="A2" s="3" t="s">
        <v>305</v>
      </c>
      <c r="B2" s="3" t="s">
        <v>306</v>
      </c>
    </row>
    <row r="3">
      <c r="A3" s="3" t="s">
        <v>307</v>
      </c>
      <c r="B3" s="3" t="s">
        <v>306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1.89"/>
    <col customWidth="1" min="3" max="3" width="6.78"/>
    <col customWidth="1" min="4" max="4" width="11.67"/>
    <col customWidth="1" min="5" max="5" width="28.78"/>
    <col customWidth="1" min="6" max="15" width="6.78"/>
  </cols>
  <sheetData>
    <row r="1" ht="15.75" customHeight="1"/>
    <row r="2" ht="15.75" customHeight="1"/>
    <row r="3" ht="15.75" customHeight="1"/>
    <row r="4" ht="15.75" customHeight="1"/>
    <row r="5" ht="56.25" customHeight="1">
      <c r="B5" s="2" t="s">
        <v>309</v>
      </c>
      <c r="C5" s="4" t="s">
        <v>310</v>
      </c>
      <c r="D5" s="4" t="s">
        <v>3</v>
      </c>
      <c r="E5" s="63" t="s">
        <v>311</v>
      </c>
    </row>
    <row r="6" ht="15.75" customHeight="1">
      <c r="B6" s="5" t="s">
        <v>7</v>
      </c>
      <c r="C6" s="49"/>
      <c r="D6" s="4" t="s">
        <v>8</v>
      </c>
    </row>
    <row r="7" ht="15.75" customHeight="1">
      <c r="B7" s="6" t="s">
        <v>312</v>
      </c>
      <c r="C7" s="49"/>
      <c r="D7" s="4" t="s">
        <v>8</v>
      </c>
    </row>
    <row r="8" ht="15.75" customHeight="1">
      <c r="B8" s="6" t="s">
        <v>9</v>
      </c>
      <c r="C8" s="49"/>
      <c r="D8" s="4" t="s">
        <v>8</v>
      </c>
    </row>
    <row r="9" ht="33.0" customHeight="1">
      <c r="B9" s="6" t="s">
        <v>313</v>
      </c>
      <c r="C9" s="49"/>
      <c r="D9" s="4" t="s">
        <v>8</v>
      </c>
    </row>
    <row r="10" ht="33.0" customHeight="1">
      <c r="B10" s="2" t="s">
        <v>314</v>
      </c>
      <c r="C10" s="49"/>
      <c r="D10" s="4"/>
    </row>
    <row r="11" ht="15.75" customHeight="1">
      <c r="B11" s="6" t="s">
        <v>315</v>
      </c>
      <c r="C11" s="6"/>
      <c r="D11" s="4" t="s">
        <v>8</v>
      </c>
    </row>
    <row r="12" ht="15.75" customHeight="1">
      <c r="B12" s="4" t="s">
        <v>316</v>
      </c>
      <c r="C12" s="4"/>
      <c r="D12" s="4" t="s">
        <v>8</v>
      </c>
    </row>
    <row r="13" ht="18.75" customHeight="1">
      <c r="B13" s="6" t="s">
        <v>317</v>
      </c>
      <c r="C13" s="49"/>
      <c r="D13" s="4" t="s">
        <v>8</v>
      </c>
    </row>
    <row r="14" ht="22.5" customHeight="1">
      <c r="B14" s="6" t="s">
        <v>318</v>
      </c>
      <c r="C14" s="49"/>
      <c r="D14" s="4" t="s">
        <v>8</v>
      </c>
    </row>
    <row r="15" ht="25.5" customHeight="1">
      <c r="B15" s="6" t="s">
        <v>319</v>
      </c>
      <c r="C15" s="49"/>
      <c r="D15" s="4" t="s">
        <v>8</v>
      </c>
    </row>
    <row r="16" ht="36.75" customHeight="1">
      <c r="B16" s="2" t="s">
        <v>320</v>
      </c>
      <c r="C16" s="49"/>
      <c r="D16" s="4"/>
    </row>
    <row r="17" ht="15.75" customHeight="1">
      <c r="B17" s="6" t="s">
        <v>321</v>
      </c>
      <c r="C17" s="6"/>
      <c r="D17" s="4" t="s">
        <v>8</v>
      </c>
    </row>
    <row r="18" ht="15.75" customHeight="1">
      <c r="B18" s="6" t="s">
        <v>322</v>
      </c>
      <c r="C18" s="4"/>
      <c r="D18" s="4" t="s">
        <v>8</v>
      </c>
    </row>
    <row r="19" ht="15.75" customHeight="1">
      <c r="B19" s="4" t="s">
        <v>323</v>
      </c>
      <c r="C19" s="6"/>
      <c r="D19" s="4" t="s">
        <v>8</v>
      </c>
    </row>
    <row r="20">
      <c r="B20" s="2" t="s">
        <v>324</v>
      </c>
      <c r="C20" s="49"/>
      <c r="D20" s="4"/>
    </row>
    <row r="21" ht="27.75" customHeight="1">
      <c r="B21" s="6" t="s">
        <v>24</v>
      </c>
      <c r="C21" s="6"/>
      <c r="D21" s="4" t="s">
        <v>8</v>
      </c>
    </row>
    <row r="22" ht="15.75" customHeight="1">
      <c r="B22" s="6" t="s">
        <v>325</v>
      </c>
      <c r="C22" s="6"/>
      <c r="D22" s="4" t="s">
        <v>8</v>
      </c>
    </row>
    <row r="23" ht="15.75" customHeight="1">
      <c r="B23" s="6" t="s">
        <v>30</v>
      </c>
      <c r="C23" s="6"/>
      <c r="D23" s="4" t="s">
        <v>8</v>
      </c>
    </row>
    <row r="24" ht="15.75" customHeight="1">
      <c r="B24" s="6" t="s">
        <v>32</v>
      </c>
      <c r="C24" s="6"/>
      <c r="D24" s="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E5:E19"/>
  </mergeCells>
  <dataValidations>
    <dataValidation type="list" allowBlank="1" showErrorMessage="1" sqref="D6:D24">
      <formula1>"PASS,FAIL,Uncheck"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56"/>
    <col customWidth="1" min="3" max="3" width="16.56"/>
    <col hidden="1" min="4" max="5" width="11.22"/>
  </cols>
  <sheetData>
    <row r="1">
      <c r="A1" s="3" t="s">
        <v>334</v>
      </c>
      <c r="B1" s="3" t="s">
        <v>335</v>
      </c>
      <c r="C1" s="3" t="s">
        <v>336</v>
      </c>
      <c r="D1" s="3" t="s">
        <v>337</v>
      </c>
      <c r="E1" s="3" t="s">
        <v>338</v>
      </c>
      <c r="F1" s="3" t="s">
        <v>339</v>
      </c>
      <c r="G1" s="3" t="s">
        <v>340</v>
      </c>
      <c r="H1" s="3" t="s">
        <v>341</v>
      </c>
    </row>
    <row r="2">
      <c r="A2" s="3">
        <v>1.0</v>
      </c>
      <c r="B2" s="7">
        <f t="shared" ref="B2:C2" si="1">I2</f>
        <v>3.49</v>
      </c>
      <c r="C2" s="7">
        <f t="shared" si="1"/>
        <v>1</v>
      </c>
      <c r="F2" s="7">
        <f>C2</f>
        <v>1</v>
      </c>
      <c r="G2" s="7">
        <f>0</f>
        <v>0</v>
      </c>
      <c r="H2" s="7">
        <f t="shared" ref="H2:H131" si="4">MIN(E:E)</f>
        <v>-4.139</v>
      </c>
      <c r="I2" s="7">
        <f t="shared" ref="I2:J2" si="2">K2</f>
        <v>3.49</v>
      </c>
      <c r="J2" s="7">
        <f t="shared" si="2"/>
        <v>1</v>
      </c>
      <c r="K2" s="7">
        <f>IFERROR(__xludf.DUMMYFUNCTION("FILTER('2025 TradingNote'!H7:H1001, ISNUMBER('2025 TradingNote'!H7:H1001))"),3.49)</f>
        <v>3.49</v>
      </c>
      <c r="L2" s="7">
        <f>IFERROR(__xludf.DUMMYFUNCTION("FILTER('2025 TradingNote'!G7:G1001, ISNUMBER('2025 TradingNote'!G7:G1001))"),1.0)</f>
        <v>1</v>
      </c>
    </row>
    <row r="3">
      <c r="A3" s="3">
        <v>2.0</v>
      </c>
      <c r="B3" s="7">
        <f t="shared" ref="B3:C3" si="3">I3</f>
        <v>-2.71</v>
      </c>
      <c r="C3" s="7">
        <f t="shared" si="3"/>
        <v>0</v>
      </c>
      <c r="F3" s="7">
        <f t="shared" ref="F3:F66" si="7">MAX(F2,C3)</f>
        <v>1</v>
      </c>
      <c r="G3" s="7">
        <f t="shared" ref="G3:G66" si="8">C3-F3</f>
        <v>-1</v>
      </c>
      <c r="H3" s="7">
        <f t="shared" si="4"/>
        <v>-4.139</v>
      </c>
      <c r="I3" s="7">
        <f t="shared" ref="I3:J3" si="5">I2+K3</f>
        <v>-2.71</v>
      </c>
      <c r="J3" s="7">
        <f t="shared" si="5"/>
        <v>0</v>
      </c>
      <c r="K3" s="7">
        <f>IFERROR(__xludf.DUMMYFUNCTION("""COMPUTED_VALUE"""),-6.2)</f>
        <v>-6.2</v>
      </c>
      <c r="L3" s="7">
        <f>IFERROR(__xludf.DUMMYFUNCTION("""COMPUTED_VALUE"""),-1.0)</f>
        <v>-1</v>
      </c>
    </row>
    <row r="4">
      <c r="A4" s="3">
        <v>3.0</v>
      </c>
      <c r="B4" s="7">
        <f t="shared" ref="B4:C4" si="6">I4</f>
        <v>-10.71</v>
      </c>
      <c r="C4" s="7">
        <f t="shared" si="6"/>
        <v>-1</v>
      </c>
      <c r="F4" s="7">
        <f t="shared" si="7"/>
        <v>1</v>
      </c>
      <c r="G4" s="7">
        <f t="shared" si="8"/>
        <v>-2</v>
      </c>
      <c r="H4" s="7">
        <f t="shared" si="4"/>
        <v>-4.139</v>
      </c>
      <c r="I4" s="7">
        <f t="shared" ref="I4:J4" si="9">I3+K4</f>
        <v>-10.71</v>
      </c>
      <c r="J4" s="7">
        <f t="shared" si="9"/>
        <v>-1</v>
      </c>
      <c r="K4" s="7">
        <f>IFERROR(__xludf.DUMMYFUNCTION("""COMPUTED_VALUE"""),-8.0)</f>
        <v>-8</v>
      </c>
      <c r="L4" s="7">
        <f>IFERROR(__xludf.DUMMYFUNCTION("""COMPUTED_VALUE"""),-1.0)</f>
        <v>-1</v>
      </c>
    </row>
    <row r="5">
      <c r="A5" s="3">
        <v>4.0</v>
      </c>
      <c r="B5" s="7">
        <f t="shared" ref="B5:C5" si="10">I5</f>
        <v>-14</v>
      </c>
      <c r="C5" s="7">
        <f t="shared" si="10"/>
        <v>-2</v>
      </c>
      <c r="F5" s="7">
        <f t="shared" si="7"/>
        <v>1</v>
      </c>
      <c r="G5" s="7">
        <f t="shared" si="8"/>
        <v>-3</v>
      </c>
      <c r="H5" s="7">
        <f t="shared" si="4"/>
        <v>-4.139</v>
      </c>
      <c r="I5" s="7">
        <f t="shared" ref="I5:J5" si="11">I4+K5</f>
        <v>-14</v>
      </c>
      <c r="J5" s="7">
        <f t="shared" si="11"/>
        <v>-2</v>
      </c>
      <c r="K5" s="7">
        <f>IFERROR(__xludf.DUMMYFUNCTION("""COMPUTED_VALUE"""),-3.29)</f>
        <v>-3.29</v>
      </c>
      <c r="L5" s="7">
        <f>IFERROR(__xludf.DUMMYFUNCTION("""COMPUTED_VALUE"""),-1.0)</f>
        <v>-1</v>
      </c>
    </row>
    <row r="6">
      <c r="A6" s="3">
        <v>5.0</v>
      </c>
      <c r="B6" s="7">
        <f t="shared" ref="B6:C6" si="12">I6</f>
        <v>-9.9</v>
      </c>
      <c r="C6" s="7">
        <f t="shared" si="12"/>
        <v>-1.5</v>
      </c>
      <c r="F6" s="7">
        <f t="shared" si="7"/>
        <v>1</v>
      </c>
      <c r="G6" s="7">
        <f t="shared" si="8"/>
        <v>-2.5</v>
      </c>
      <c r="H6" s="7">
        <f t="shared" si="4"/>
        <v>-4.139</v>
      </c>
      <c r="I6" s="7">
        <f t="shared" ref="I6:J6" si="13">I5+K6</f>
        <v>-9.9</v>
      </c>
      <c r="J6" s="7">
        <f t="shared" si="13"/>
        <v>-1.5</v>
      </c>
      <c r="K6" s="7">
        <f>IFERROR(__xludf.DUMMYFUNCTION("""COMPUTED_VALUE"""),4.1)</f>
        <v>4.1</v>
      </c>
      <c r="L6" s="7">
        <f>IFERROR(__xludf.DUMMYFUNCTION("""COMPUTED_VALUE"""),0.5)</f>
        <v>0.5</v>
      </c>
    </row>
    <row r="7">
      <c r="A7" s="3">
        <v>6.0</v>
      </c>
      <c r="B7" s="7">
        <f t="shared" ref="B7:C7" si="14">I7</f>
        <v>-15.9</v>
      </c>
      <c r="C7" s="7">
        <f t="shared" si="14"/>
        <v>-2.5</v>
      </c>
      <c r="F7" s="7">
        <f t="shared" si="7"/>
        <v>1</v>
      </c>
      <c r="G7" s="7">
        <f t="shared" si="8"/>
        <v>-3.5</v>
      </c>
      <c r="H7" s="7">
        <f t="shared" si="4"/>
        <v>-4.139</v>
      </c>
      <c r="I7" s="7">
        <f t="shared" ref="I7:J7" si="15">I6+K7</f>
        <v>-15.9</v>
      </c>
      <c r="J7" s="7">
        <f t="shared" si="15"/>
        <v>-2.5</v>
      </c>
      <c r="K7" s="7">
        <f>IFERROR(__xludf.DUMMYFUNCTION("""COMPUTED_VALUE"""),-6.0)</f>
        <v>-6</v>
      </c>
      <c r="L7" s="7">
        <f>IFERROR(__xludf.DUMMYFUNCTION("""COMPUTED_VALUE"""),-1.0)</f>
        <v>-1</v>
      </c>
    </row>
    <row r="8">
      <c r="A8" s="3">
        <v>7.0</v>
      </c>
      <c r="B8" s="7">
        <f t="shared" ref="B8:C8" si="16">I8</f>
        <v>-2.4</v>
      </c>
      <c r="C8" s="7">
        <f t="shared" si="16"/>
        <v>-1</v>
      </c>
      <c r="F8" s="7">
        <f t="shared" si="7"/>
        <v>1</v>
      </c>
      <c r="G8" s="7">
        <f t="shared" si="8"/>
        <v>-2</v>
      </c>
      <c r="H8" s="7">
        <f t="shared" si="4"/>
        <v>-4.139</v>
      </c>
      <c r="I8" s="7">
        <f t="shared" ref="I8:J8" si="17">I7+K8</f>
        <v>-2.4</v>
      </c>
      <c r="J8" s="7">
        <f t="shared" si="17"/>
        <v>-1</v>
      </c>
      <c r="K8" s="7">
        <f>IFERROR(__xludf.DUMMYFUNCTION("""COMPUTED_VALUE"""),13.5)</f>
        <v>13.5</v>
      </c>
      <c r="L8" s="7">
        <f>IFERROR(__xludf.DUMMYFUNCTION("""COMPUTED_VALUE"""),1.5)</f>
        <v>1.5</v>
      </c>
    </row>
    <row r="9">
      <c r="A9" s="3">
        <v>8.0</v>
      </c>
      <c r="B9" s="7">
        <f t="shared" ref="B9:C9" si="18">I9</f>
        <v>7.6</v>
      </c>
      <c r="C9" s="7">
        <f t="shared" si="18"/>
        <v>2</v>
      </c>
      <c r="F9" s="7">
        <f t="shared" si="7"/>
        <v>2</v>
      </c>
      <c r="G9" s="7">
        <f t="shared" si="8"/>
        <v>0</v>
      </c>
      <c r="H9" s="7">
        <f t="shared" si="4"/>
        <v>-4.139</v>
      </c>
      <c r="I9" s="7">
        <f t="shared" ref="I9:J9" si="19">I8+K9</f>
        <v>7.6</v>
      </c>
      <c r="J9" s="7">
        <f t="shared" si="19"/>
        <v>2</v>
      </c>
      <c r="K9" s="7">
        <f>IFERROR(__xludf.DUMMYFUNCTION("""COMPUTED_VALUE"""),10.0)</f>
        <v>10</v>
      </c>
      <c r="L9" s="7">
        <f>IFERROR(__xludf.DUMMYFUNCTION("""COMPUTED_VALUE"""),3.0)</f>
        <v>3</v>
      </c>
    </row>
    <row r="10">
      <c r="A10" s="3">
        <v>9.0</v>
      </c>
      <c r="B10" s="7">
        <f t="shared" ref="B10:C10" si="20">I10</f>
        <v>1.27</v>
      </c>
      <c r="C10" s="7">
        <f t="shared" si="20"/>
        <v>1</v>
      </c>
      <c r="F10" s="7">
        <f t="shared" si="7"/>
        <v>2</v>
      </c>
      <c r="G10" s="7">
        <f t="shared" si="8"/>
        <v>-1</v>
      </c>
      <c r="H10" s="7">
        <f t="shared" si="4"/>
        <v>-4.139</v>
      </c>
      <c r="I10" s="7">
        <f t="shared" ref="I10:J10" si="21">I9+K10</f>
        <v>1.27</v>
      </c>
      <c r="J10" s="7">
        <f t="shared" si="21"/>
        <v>1</v>
      </c>
      <c r="K10" s="7">
        <f>IFERROR(__xludf.DUMMYFUNCTION("""COMPUTED_VALUE"""),-6.33)</f>
        <v>-6.33</v>
      </c>
      <c r="L10" s="7">
        <f>IFERROR(__xludf.DUMMYFUNCTION("""COMPUTED_VALUE"""),-1.0)</f>
        <v>-1</v>
      </c>
    </row>
    <row r="11">
      <c r="A11" s="3">
        <v>10.0</v>
      </c>
      <c r="B11" s="7">
        <f t="shared" ref="B11:C11" si="22">I11</f>
        <v>-1.97</v>
      </c>
      <c r="C11" s="7">
        <f t="shared" si="22"/>
        <v>0</v>
      </c>
      <c r="F11" s="7">
        <f t="shared" si="7"/>
        <v>2</v>
      </c>
      <c r="G11" s="7">
        <f t="shared" si="8"/>
        <v>-2</v>
      </c>
      <c r="H11" s="7">
        <f t="shared" si="4"/>
        <v>-4.139</v>
      </c>
      <c r="I11" s="7">
        <f t="shared" ref="I11:J11" si="23">I10+K11</f>
        <v>-1.97</v>
      </c>
      <c r="J11" s="7">
        <f t="shared" si="23"/>
        <v>0</v>
      </c>
      <c r="K11" s="7">
        <f>IFERROR(__xludf.DUMMYFUNCTION("""COMPUTED_VALUE"""),-3.24)</f>
        <v>-3.24</v>
      </c>
      <c r="L11" s="7">
        <f>IFERROR(__xludf.DUMMYFUNCTION("""COMPUTED_VALUE"""),-1.0)</f>
        <v>-1</v>
      </c>
    </row>
    <row r="12">
      <c r="A12" s="3">
        <v>11.0</v>
      </c>
      <c r="B12" s="7">
        <f t="shared" ref="B12:C12" si="24">I12</f>
        <v>6.03</v>
      </c>
      <c r="C12" s="7">
        <f t="shared" si="24"/>
        <v>1</v>
      </c>
      <c r="F12" s="7">
        <f t="shared" si="7"/>
        <v>2</v>
      </c>
      <c r="G12" s="7">
        <f t="shared" si="8"/>
        <v>-1</v>
      </c>
      <c r="H12" s="7">
        <f t="shared" si="4"/>
        <v>-4.139</v>
      </c>
      <c r="I12" s="7">
        <f t="shared" ref="I12:J12" si="25">I11+K12</f>
        <v>6.03</v>
      </c>
      <c r="J12" s="7">
        <f t="shared" si="25"/>
        <v>1</v>
      </c>
      <c r="K12" s="7">
        <f>IFERROR(__xludf.DUMMYFUNCTION("""COMPUTED_VALUE"""),8.0)</f>
        <v>8</v>
      </c>
      <c r="L12" s="7">
        <f>IFERROR(__xludf.DUMMYFUNCTION("""COMPUTED_VALUE"""),1.0)</f>
        <v>1</v>
      </c>
    </row>
    <row r="13">
      <c r="A13" s="3">
        <v>12.0</v>
      </c>
      <c r="B13" s="7">
        <f t="shared" ref="B13:C13" si="26">I13</f>
        <v>10.24</v>
      </c>
      <c r="C13" s="7">
        <f t="shared" si="26"/>
        <v>2.5</v>
      </c>
      <c r="F13" s="7">
        <f t="shared" si="7"/>
        <v>2.5</v>
      </c>
      <c r="G13" s="7">
        <f t="shared" si="8"/>
        <v>0</v>
      </c>
      <c r="H13" s="7">
        <f t="shared" si="4"/>
        <v>-4.139</v>
      </c>
      <c r="I13" s="7">
        <f t="shared" ref="I13:J13" si="27">I12+K13</f>
        <v>10.24</v>
      </c>
      <c r="J13" s="7">
        <f t="shared" si="27"/>
        <v>2.5</v>
      </c>
      <c r="K13" s="7">
        <f>IFERROR(__xludf.DUMMYFUNCTION("""COMPUTED_VALUE"""),4.21)</f>
        <v>4.21</v>
      </c>
      <c r="L13" s="7">
        <f>IFERROR(__xludf.DUMMYFUNCTION("""COMPUTED_VALUE"""),1.5)</f>
        <v>1.5</v>
      </c>
    </row>
    <row r="14">
      <c r="A14" s="3">
        <v>13.0</v>
      </c>
      <c r="B14" s="7">
        <f t="shared" ref="B14:C14" si="28">I14</f>
        <v>5.71</v>
      </c>
      <c r="C14" s="7">
        <f t="shared" si="28"/>
        <v>2</v>
      </c>
      <c r="F14" s="7">
        <f t="shared" si="7"/>
        <v>2.5</v>
      </c>
      <c r="G14" s="7">
        <f t="shared" si="8"/>
        <v>-0.5</v>
      </c>
      <c r="H14" s="7">
        <f t="shared" si="4"/>
        <v>-4.139</v>
      </c>
      <c r="I14" s="7">
        <f t="shared" ref="I14:J14" si="29">I13+K14</f>
        <v>5.71</v>
      </c>
      <c r="J14" s="7">
        <f t="shared" si="29"/>
        <v>2</v>
      </c>
      <c r="K14" s="7">
        <f>IFERROR(__xludf.DUMMYFUNCTION("""COMPUTED_VALUE"""),-4.53)</f>
        <v>-4.53</v>
      </c>
      <c r="L14" s="7">
        <f>IFERROR(__xludf.DUMMYFUNCTION("""COMPUTED_VALUE"""),-0.5)</f>
        <v>-0.5</v>
      </c>
    </row>
    <row r="15">
      <c r="A15" s="3">
        <v>14.0</v>
      </c>
      <c r="B15" s="7">
        <f t="shared" ref="B15:C15" si="30">I15</f>
        <v>1.52</v>
      </c>
      <c r="C15" s="7">
        <f t="shared" si="30"/>
        <v>1</v>
      </c>
      <c r="F15" s="7">
        <f t="shared" si="7"/>
        <v>2.5</v>
      </c>
      <c r="G15" s="7">
        <f t="shared" si="8"/>
        <v>-1.5</v>
      </c>
      <c r="H15" s="7">
        <f t="shared" si="4"/>
        <v>-4.139</v>
      </c>
      <c r="I15" s="7">
        <f t="shared" ref="I15:J15" si="31">I14+K15</f>
        <v>1.52</v>
      </c>
      <c r="J15" s="7">
        <f t="shared" si="31"/>
        <v>1</v>
      </c>
      <c r="K15" s="7">
        <f>IFERROR(__xludf.DUMMYFUNCTION("""COMPUTED_VALUE"""),-4.19)</f>
        <v>-4.19</v>
      </c>
      <c r="L15" s="7">
        <f>IFERROR(__xludf.DUMMYFUNCTION("""COMPUTED_VALUE"""),-1.0)</f>
        <v>-1</v>
      </c>
    </row>
    <row r="16">
      <c r="A16" s="3">
        <v>15.0</v>
      </c>
      <c r="B16" s="7">
        <f t="shared" ref="B16:C16" si="32">I16</f>
        <v>-2.17</v>
      </c>
      <c r="C16" s="7">
        <f t="shared" si="32"/>
        <v>0</v>
      </c>
      <c r="F16" s="7">
        <f t="shared" si="7"/>
        <v>2.5</v>
      </c>
      <c r="G16" s="7">
        <f t="shared" si="8"/>
        <v>-2.5</v>
      </c>
      <c r="H16" s="7">
        <f t="shared" si="4"/>
        <v>-4.139</v>
      </c>
      <c r="I16" s="7">
        <f t="shared" ref="I16:J16" si="33">I15+K16</f>
        <v>-2.17</v>
      </c>
      <c r="J16" s="7">
        <f t="shared" si="33"/>
        <v>0</v>
      </c>
      <c r="K16" s="7">
        <f>IFERROR(__xludf.DUMMYFUNCTION("""COMPUTED_VALUE"""),-3.69)</f>
        <v>-3.69</v>
      </c>
      <c r="L16" s="7">
        <f>IFERROR(__xludf.DUMMYFUNCTION("""COMPUTED_VALUE"""),-1.0)</f>
        <v>-1</v>
      </c>
    </row>
    <row r="17">
      <c r="A17" s="3">
        <v>16.0</v>
      </c>
      <c r="B17" s="7">
        <f t="shared" ref="B17:C17" si="34">I17</f>
        <v>-11.9</v>
      </c>
      <c r="C17" s="7">
        <f t="shared" si="34"/>
        <v>1</v>
      </c>
      <c r="F17" s="7">
        <f t="shared" si="7"/>
        <v>2.5</v>
      </c>
      <c r="G17" s="7">
        <f t="shared" si="8"/>
        <v>-1.5</v>
      </c>
      <c r="H17" s="7">
        <f t="shared" si="4"/>
        <v>-4.139</v>
      </c>
      <c r="I17" s="7">
        <f t="shared" ref="I17:J17" si="35">I16+K17</f>
        <v>-11.9</v>
      </c>
      <c r="J17" s="7">
        <f t="shared" si="35"/>
        <v>1</v>
      </c>
      <c r="K17" s="7">
        <f>IFERROR(__xludf.DUMMYFUNCTION("""COMPUTED_VALUE"""),-9.73)</f>
        <v>-9.73</v>
      </c>
      <c r="L17" s="7">
        <f>IFERROR(__xludf.DUMMYFUNCTION("""COMPUTED_VALUE"""),1.0)</f>
        <v>1</v>
      </c>
    </row>
    <row r="18">
      <c r="A18" s="3">
        <v>17.0</v>
      </c>
      <c r="B18" s="7">
        <f t="shared" ref="B18:C18" si="36">I18</f>
        <v>-1.7</v>
      </c>
      <c r="C18" s="7">
        <f t="shared" si="36"/>
        <v>2.5</v>
      </c>
      <c r="F18" s="7">
        <f t="shared" si="7"/>
        <v>2.5</v>
      </c>
      <c r="G18" s="7">
        <f t="shared" si="8"/>
        <v>0</v>
      </c>
      <c r="H18" s="7">
        <f t="shared" si="4"/>
        <v>-4.139</v>
      </c>
      <c r="I18" s="7">
        <f t="shared" ref="I18:J18" si="37">I17+K18</f>
        <v>-1.7</v>
      </c>
      <c r="J18" s="7">
        <f t="shared" si="37"/>
        <v>2.5</v>
      </c>
      <c r="K18" s="7">
        <f>IFERROR(__xludf.DUMMYFUNCTION("""COMPUTED_VALUE"""),10.2)</f>
        <v>10.2</v>
      </c>
      <c r="L18" s="7">
        <f>IFERROR(__xludf.DUMMYFUNCTION("""COMPUTED_VALUE"""),1.5)</f>
        <v>1.5</v>
      </c>
    </row>
    <row r="19">
      <c r="A19" s="3">
        <v>18.0</v>
      </c>
      <c r="B19" s="7">
        <f t="shared" ref="B19:C19" si="38">I19</f>
        <v>4.7</v>
      </c>
      <c r="C19" s="7">
        <f t="shared" si="38"/>
        <v>3</v>
      </c>
      <c r="F19" s="7">
        <f t="shared" si="7"/>
        <v>3</v>
      </c>
      <c r="G19" s="7">
        <f t="shared" si="8"/>
        <v>0</v>
      </c>
      <c r="H19" s="7">
        <f t="shared" si="4"/>
        <v>-4.139</v>
      </c>
      <c r="I19" s="7">
        <f t="shared" ref="I19:J19" si="39">I18+K19</f>
        <v>4.7</v>
      </c>
      <c r="J19" s="7">
        <f t="shared" si="39"/>
        <v>3</v>
      </c>
      <c r="K19" s="7">
        <f>IFERROR(__xludf.DUMMYFUNCTION("""COMPUTED_VALUE"""),6.4)</f>
        <v>6.4</v>
      </c>
      <c r="L19" s="7">
        <f>IFERROR(__xludf.DUMMYFUNCTION("""COMPUTED_VALUE"""),0.5)</f>
        <v>0.5</v>
      </c>
    </row>
    <row r="20">
      <c r="A20" s="3">
        <v>19.0</v>
      </c>
      <c r="B20" s="7">
        <f t="shared" ref="B20:C20" si="40">I20</f>
        <v>8.76</v>
      </c>
      <c r="C20" s="7">
        <f t="shared" si="40"/>
        <v>4.5</v>
      </c>
      <c r="F20" s="7">
        <f t="shared" si="7"/>
        <v>4.5</v>
      </c>
      <c r="G20" s="7">
        <f t="shared" si="8"/>
        <v>0</v>
      </c>
      <c r="H20" s="7">
        <f t="shared" si="4"/>
        <v>-4.139</v>
      </c>
      <c r="I20" s="7">
        <f t="shared" ref="I20:J20" si="41">I19+K20</f>
        <v>8.76</v>
      </c>
      <c r="J20" s="7">
        <f t="shared" si="41"/>
        <v>4.5</v>
      </c>
      <c r="K20" s="7">
        <f>IFERROR(__xludf.DUMMYFUNCTION("""COMPUTED_VALUE"""),4.06)</f>
        <v>4.06</v>
      </c>
      <c r="L20" s="7">
        <f>IFERROR(__xludf.DUMMYFUNCTION("""COMPUTED_VALUE"""),1.5)</f>
        <v>1.5</v>
      </c>
    </row>
    <row r="21">
      <c r="A21" s="3">
        <v>20.0</v>
      </c>
      <c r="B21" s="7">
        <f t="shared" ref="B21:C21" si="42">I21</f>
        <v>1.15</v>
      </c>
      <c r="C21" s="7">
        <f t="shared" si="42"/>
        <v>3.5</v>
      </c>
      <c r="F21" s="7">
        <f t="shared" si="7"/>
        <v>4.5</v>
      </c>
      <c r="G21" s="7">
        <f t="shared" si="8"/>
        <v>-1</v>
      </c>
      <c r="H21" s="7">
        <f t="shared" si="4"/>
        <v>-4.139</v>
      </c>
      <c r="I21" s="7">
        <f t="shared" ref="I21:J21" si="43">I20+K21</f>
        <v>1.15</v>
      </c>
      <c r="J21" s="7">
        <f t="shared" si="43"/>
        <v>3.5</v>
      </c>
      <c r="K21" s="7">
        <f>IFERROR(__xludf.DUMMYFUNCTION("""COMPUTED_VALUE"""),-7.61)</f>
        <v>-7.61</v>
      </c>
      <c r="L21" s="7">
        <f>IFERROR(__xludf.DUMMYFUNCTION("""COMPUTED_VALUE"""),-1.0)</f>
        <v>-1</v>
      </c>
    </row>
    <row r="22">
      <c r="A22" s="3">
        <v>21.0</v>
      </c>
      <c r="B22" s="7">
        <f t="shared" ref="B22:C22" si="44">I22</f>
        <v>11.25</v>
      </c>
      <c r="C22" s="7">
        <f t="shared" si="44"/>
        <v>6.5</v>
      </c>
      <c r="F22" s="7">
        <f t="shared" si="7"/>
        <v>6.5</v>
      </c>
      <c r="G22" s="7">
        <f t="shared" si="8"/>
        <v>0</v>
      </c>
      <c r="H22" s="7">
        <f t="shared" si="4"/>
        <v>-4.139</v>
      </c>
      <c r="I22" s="7">
        <f t="shared" ref="I22:J22" si="45">I21+K22</f>
        <v>11.25</v>
      </c>
      <c r="J22" s="7">
        <f t="shared" si="45"/>
        <v>6.5</v>
      </c>
      <c r="K22" s="7">
        <f>IFERROR(__xludf.DUMMYFUNCTION("""COMPUTED_VALUE"""),10.1)</f>
        <v>10.1</v>
      </c>
      <c r="L22" s="7">
        <f>IFERROR(__xludf.DUMMYFUNCTION("""COMPUTED_VALUE"""),3.0)</f>
        <v>3</v>
      </c>
    </row>
    <row r="23">
      <c r="A23" s="3">
        <v>22.0</v>
      </c>
      <c r="B23" s="7">
        <f t="shared" ref="B23:C23" si="46">I23</f>
        <v>8.31</v>
      </c>
      <c r="C23" s="7">
        <f t="shared" si="46"/>
        <v>5.5</v>
      </c>
      <c r="F23" s="7">
        <f t="shared" si="7"/>
        <v>6.5</v>
      </c>
      <c r="G23" s="7">
        <f t="shared" si="8"/>
        <v>-1</v>
      </c>
      <c r="H23" s="7">
        <f t="shared" si="4"/>
        <v>-4.139</v>
      </c>
      <c r="I23" s="7">
        <f t="shared" ref="I23:J23" si="47">I22+K23</f>
        <v>8.31</v>
      </c>
      <c r="J23" s="7">
        <f t="shared" si="47"/>
        <v>5.5</v>
      </c>
      <c r="K23" s="7">
        <f>IFERROR(__xludf.DUMMYFUNCTION("""COMPUTED_VALUE"""),-2.94)</f>
        <v>-2.94</v>
      </c>
      <c r="L23" s="7">
        <f>IFERROR(__xludf.DUMMYFUNCTION("""COMPUTED_VALUE"""),-1.0)</f>
        <v>-1</v>
      </c>
    </row>
    <row r="24">
      <c r="A24" s="3">
        <v>23.0</v>
      </c>
      <c r="B24" s="7">
        <f t="shared" ref="B24:C24" si="48">I24</f>
        <v>7.3</v>
      </c>
      <c r="C24" s="7">
        <f t="shared" si="48"/>
        <v>5.5</v>
      </c>
      <c r="F24" s="7">
        <f t="shared" si="7"/>
        <v>6.5</v>
      </c>
      <c r="G24" s="7">
        <f t="shared" si="8"/>
        <v>-1</v>
      </c>
      <c r="H24" s="7">
        <f t="shared" si="4"/>
        <v>-4.139</v>
      </c>
      <c r="I24" s="7">
        <f t="shared" ref="I24:J24" si="49">I23+K24</f>
        <v>7.3</v>
      </c>
      <c r="J24" s="7">
        <f t="shared" si="49"/>
        <v>5.5</v>
      </c>
      <c r="K24" s="7">
        <f>IFERROR(__xludf.DUMMYFUNCTION("""COMPUTED_VALUE"""),-1.01)</f>
        <v>-1.01</v>
      </c>
      <c r="L24" s="7">
        <f>IFERROR(__xludf.DUMMYFUNCTION("""COMPUTED_VALUE"""),0.0)</f>
        <v>0</v>
      </c>
    </row>
    <row r="25">
      <c r="A25" s="3">
        <v>24.0</v>
      </c>
      <c r="B25" s="7">
        <f t="shared" ref="B25:C25" si="50">I25</f>
        <v>8.61</v>
      </c>
      <c r="C25" s="7">
        <f t="shared" si="50"/>
        <v>5.5</v>
      </c>
      <c r="F25" s="7">
        <f t="shared" si="7"/>
        <v>6.5</v>
      </c>
      <c r="G25" s="7">
        <f t="shared" si="8"/>
        <v>-1</v>
      </c>
      <c r="H25" s="7">
        <f t="shared" si="4"/>
        <v>-4.139</v>
      </c>
      <c r="I25" s="7">
        <f t="shared" ref="I25:J25" si="51">I24+K25</f>
        <v>8.61</v>
      </c>
      <c r="J25" s="7">
        <f t="shared" si="51"/>
        <v>5.5</v>
      </c>
      <c r="K25" s="7">
        <f>IFERROR(__xludf.DUMMYFUNCTION("""COMPUTED_VALUE"""),1.31)</f>
        <v>1.31</v>
      </c>
      <c r="L25" s="7">
        <f>IFERROR(__xludf.DUMMYFUNCTION("""COMPUTED_VALUE"""),0.0)</f>
        <v>0</v>
      </c>
    </row>
    <row r="26">
      <c r="A26" s="3">
        <v>25.0</v>
      </c>
      <c r="B26" s="7">
        <f t="shared" ref="B26:C26" si="52">I26</f>
        <v>-4.19</v>
      </c>
      <c r="C26" s="7">
        <f t="shared" si="52"/>
        <v>4.5</v>
      </c>
      <c r="F26" s="7">
        <f t="shared" si="7"/>
        <v>6.5</v>
      </c>
      <c r="G26" s="7">
        <f t="shared" si="8"/>
        <v>-2</v>
      </c>
      <c r="H26" s="7">
        <f t="shared" si="4"/>
        <v>-4.139</v>
      </c>
      <c r="I26" s="7">
        <f t="shared" ref="I26:J26" si="53">I25+K26</f>
        <v>-4.19</v>
      </c>
      <c r="J26" s="7">
        <f t="shared" si="53"/>
        <v>4.5</v>
      </c>
      <c r="K26" s="7">
        <f>IFERROR(__xludf.DUMMYFUNCTION("""COMPUTED_VALUE"""),-12.8)</f>
        <v>-12.8</v>
      </c>
      <c r="L26" s="7">
        <f>IFERROR(__xludf.DUMMYFUNCTION("""COMPUTED_VALUE"""),-1.0)</f>
        <v>-1</v>
      </c>
    </row>
    <row r="27">
      <c r="A27" s="3">
        <v>26.0</v>
      </c>
      <c r="B27" s="7">
        <f t="shared" ref="B27:C27" si="54">I27</f>
        <v>-16.28</v>
      </c>
      <c r="C27" s="7">
        <f t="shared" si="54"/>
        <v>3.5</v>
      </c>
      <c r="F27" s="7">
        <f t="shared" si="7"/>
        <v>6.5</v>
      </c>
      <c r="G27" s="7">
        <f t="shared" si="8"/>
        <v>-3</v>
      </c>
      <c r="H27" s="7">
        <f t="shared" si="4"/>
        <v>-4.139</v>
      </c>
      <c r="I27" s="7">
        <f t="shared" ref="I27:J27" si="55">I26+K27</f>
        <v>-16.28</v>
      </c>
      <c r="J27" s="7">
        <f t="shared" si="55"/>
        <v>3.5</v>
      </c>
      <c r="K27" s="7">
        <f>IFERROR(__xludf.DUMMYFUNCTION("""COMPUTED_VALUE"""),-12.09)</f>
        <v>-12.09</v>
      </c>
      <c r="L27" s="7">
        <f>IFERROR(__xludf.DUMMYFUNCTION("""COMPUTED_VALUE"""),-1.0)</f>
        <v>-1</v>
      </c>
    </row>
    <row r="28">
      <c r="A28" s="3">
        <v>27.0</v>
      </c>
      <c r="B28" s="7">
        <f t="shared" ref="B28:C28" si="56">I28</f>
        <v>-28.68</v>
      </c>
      <c r="C28" s="7">
        <f t="shared" si="56"/>
        <v>2.5</v>
      </c>
      <c r="F28" s="7">
        <f t="shared" si="7"/>
        <v>6.5</v>
      </c>
      <c r="G28" s="7">
        <f t="shared" si="8"/>
        <v>-4</v>
      </c>
      <c r="H28" s="7">
        <f t="shared" si="4"/>
        <v>-4.139</v>
      </c>
      <c r="I28" s="7">
        <f t="shared" ref="I28:J28" si="57">I27+K28</f>
        <v>-28.68</v>
      </c>
      <c r="J28" s="7">
        <f t="shared" si="57"/>
        <v>2.5</v>
      </c>
      <c r="K28" s="7">
        <f>IFERROR(__xludf.DUMMYFUNCTION("""COMPUTED_VALUE"""),-12.4)</f>
        <v>-12.4</v>
      </c>
      <c r="L28" s="7">
        <f>IFERROR(__xludf.DUMMYFUNCTION("""COMPUTED_VALUE"""),-1.0)</f>
        <v>-1</v>
      </c>
    </row>
    <row r="29">
      <c r="A29" s="3">
        <v>28.0</v>
      </c>
      <c r="B29" s="7">
        <f t="shared" ref="B29:C29" si="58">I29</f>
        <v>-37.42</v>
      </c>
      <c r="C29" s="7">
        <f t="shared" si="58"/>
        <v>1.5</v>
      </c>
      <c r="F29" s="7">
        <f t="shared" si="7"/>
        <v>6.5</v>
      </c>
      <c r="G29" s="7">
        <f t="shared" si="8"/>
        <v>-5</v>
      </c>
      <c r="H29" s="7">
        <f t="shared" si="4"/>
        <v>-4.139</v>
      </c>
      <c r="I29" s="7">
        <f t="shared" ref="I29:J29" si="59">I28+K29</f>
        <v>-37.42</v>
      </c>
      <c r="J29" s="7">
        <f t="shared" si="59"/>
        <v>1.5</v>
      </c>
      <c r="K29" s="7">
        <f>IFERROR(__xludf.DUMMYFUNCTION("""COMPUTED_VALUE"""),-8.74)</f>
        <v>-8.74</v>
      </c>
      <c r="L29" s="7">
        <f>IFERROR(__xludf.DUMMYFUNCTION("""COMPUTED_VALUE"""),-1.0)</f>
        <v>-1</v>
      </c>
    </row>
    <row r="30">
      <c r="A30" s="3">
        <v>29.0</v>
      </c>
      <c r="B30" s="7">
        <f t="shared" ref="B30:C30" si="60">I30</f>
        <v>-42.91</v>
      </c>
      <c r="C30" s="7">
        <f t="shared" si="60"/>
        <v>0.5</v>
      </c>
      <c r="F30" s="7">
        <f t="shared" si="7"/>
        <v>6.5</v>
      </c>
      <c r="G30" s="7">
        <f t="shared" si="8"/>
        <v>-6</v>
      </c>
      <c r="H30" s="7">
        <f t="shared" si="4"/>
        <v>-4.139</v>
      </c>
      <c r="I30" s="7">
        <f t="shared" ref="I30:J30" si="61">I29+K30</f>
        <v>-42.91</v>
      </c>
      <c r="J30" s="7">
        <f t="shared" si="61"/>
        <v>0.5</v>
      </c>
      <c r="K30" s="7">
        <f>IFERROR(__xludf.DUMMYFUNCTION("""COMPUTED_VALUE"""),-5.49)</f>
        <v>-5.49</v>
      </c>
      <c r="L30" s="7">
        <f>IFERROR(__xludf.DUMMYFUNCTION("""COMPUTED_VALUE"""),-1.0)</f>
        <v>-1</v>
      </c>
    </row>
    <row r="31">
      <c r="A31" s="3">
        <v>30.0</v>
      </c>
      <c r="B31" s="7">
        <f t="shared" ref="B31:C31" si="62">I31</f>
        <v>-58.51</v>
      </c>
      <c r="C31" s="7">
        <f t="shared" si="62"/>
        <v>-0.5</v>
      </c>
      <c r="F31" s="7">
        <f t="shared" si="7"/>
        <v>6.5</v>
      </c>
      <c r="G31" s="7">
        <f t="shared" si="8"/>
        <v>-7</v>
      </c>
      <c r="H31" s="7">
        <f t="shared" si="4"/>
        <v>-4.139</v>
      </c>
      <c r="I31" s="7">
        <f t="shared" ref="I31:J31" si="63">I30+K31</f>
        <v>-58.51</v>
      </c>
      <c r="J31" s="7">
        <f t="shared" si="63"/>
        <v>-0.5</v>
      </c>
      <c r="K31" s="7">
        <f>IFERROR(__xludf.DUMMYFUNCTION("""COMPUTED_VALUE"""),-15.6)</f>
        <v>-15.6</v>
      </c>
      <c r="L31" s="7">
        <f>IFERROR(__xludf.DUMMYFUNCTION("""COMPUTED_VALUE"""),-1.0)</f>
        <v>-1</v>
      </c>
    </row>
    <row r="32">
      <c r="A32" s="3">
        <v>31.0</v>
      </c>
      <c r="B32" s="7">
        <f t="shared" ref="B32:C32" si="64">I32</f>
        <v>-56.2</v>
      </c>
      <c r="C32" s="7">
        <f t="shared" si="64"/>
        <v>0</v>
      </c>
      <c r="F32" s="7">
        <f t="shared" si="7"/>
        <v>6.5</v>
      </c>
      <c r="G32" s="7">
        <f t="shared" si="8"/>
        <v>-6.5</v>
      </c>
      <c r="H32" s="7">
        <f t="shared" si="4"/>
        <v>-4.139</v>
      </c>
      <c r="I32" s="7">
        <f t="shared" ref="I32:J32" si="65">I31+K32</f>
        <v>-56.2</v>
      </c>
      <c r="J32" s="7">
        <f t="shared" si="65"/>
        <v>0</v>
      </c>
      <c r="K32" s="7">
        <f>IFERROR(__xludf.DUMMYFUNCTION("""COMPUTED_VALUE"""),2.31)</f>
        <v>2.31</v>
      </c>
      <c r="L32" s="7">
        <f>IFERROR(__xludf.DUMMYFUNCTION("""COMPUTED_VALUE"""),0.5)</f>
        <v>0.5</v>
      </c>
    </row>
    <row r="33">
      <c r="A33" s="3">
        <v>32.0</v>
      </c>
      <c r="B33" s="7">
        <f t="shared" ref="B33:C33" si="66">I33</f>
        <v>-51.1</v>
      </c>
      <c r="C33" s="7">
        <f t="shared" si="66"/>
        <v>0.5</v>
      </c>
      <c r="F33" s="7">
        <f t="shared" si="7"/>
        <v>6.5</v>
      </c>
      <c r="G33" s="7">
        <f t="shared" si="8"/>
        <v>-6</v>
      </c>
      <c r="H33" s="7">
        <f t="shared" si="4"/>
        <v>-4.139</v>
      </c>
      <c r="I33" s="7">
        <f t="shared" ref="I33:J33" si="67">I32+K33</f>
        <v>-51.1</v>
      </c>
      <c r="J33" s="7">
        <f t="shared" si="67"/>
        <v>0.5</v>
      </c>
      <c r="K33" s="7">
        <f>IFERROR(__xludf.DUMMYFUNCTION("""COMPUTED_VALUE"""),5.1)</f>
        <v>5.1</v>
      </c>
      <c r="L33" s="7">
        <f>IFERROR(__xludf.DUMMYFUNCTION("""COMPUTED_VALUE"""),0.5)</f>
        <v>0.5</v>
      </c>
    </row>
    <row r="34">
      <c r="A34" s="3">
        <v>33.0</v>
      </c>
      <c r="B34" s="7">
        <f t="shared" ref="B34:C34" si="68">I34</f>
        <v>-37</v>
      </c>
      <c r="C34" s="7">
        <f t="shared" si="68"/>
        <v>2</v>
      </c>
      <c r="F34" s="7">
        <f t="shared" si="7"/>
        <v>6.5</v>
      </c>
      <c r="G34" s="7">
        <f t="shared" si="8"/>
        <v>-4.5</v>
      </c>
      <c r="H34" s="7">
        <f t="shared" si="4"/>
        <v>-4.139</v>
      </c>
      <c r="I34" s="7">
        <f t="shared" ref="I34:J34" si="69">I33+K34</f>
        <v>-37</v>
      </c>
      <c r="J34" s="7">
        <f t="shared" si="69"/>
        <v>2</v>
      </c>
      <c r="K34" s="7">
        <f>IFERROR(__xludf.DUMMYFUNCTION("""COMPUTED_VALUE"""),14.1)</f>
        <v>14.1</v>
      </c>
      <c r="L34" s="7">
        <f>IFERROR(__xludf.DUMMYFUNCTION("""COMPUTED_VALUE"""),1.5)</f>
        <v>1.5</v>
      </c>
    </row>
    <row r="35">
      <c r="A35" s="3">
        <v>34.0</v>
      </c>
      <c r="B35" s="7">
        <f t="shared" ref="B35:C35" si="70">I35</f>
        <v>-32.72</v>
      </c>
      <c r="C35" s="7">
        <f t="shared" si="70"/>
        <v>3.5</v>
      </c>
      <c r="F35" s="7">
        <f t="shared" si="7"/>
        <v>6.5</v>
      </c>
      <c r="G35" s="7">
        <f t="shared" si="8"/>
        <v>-3</v>
      </c>
      <c r="H35" s="7">
        <f t="shared" si="4"/>
        <v>-4.139</v>
      </c>
      <c r="I35" s="7">
        <f t="shared" ref="I35:J35" si="71">I34+K35</f>
        <v>-32.72</v>
      </c>
      <c r="J35" s="7">
        <f t="shared" si="71"/>
        <v>3.5</v>
      </c>
      <c r="K35" s="7">
        <f>IFERROR(__xludf.DUMMYFUNCTION("""COMPUTED_VALUE"""),4.28)</f>
        <v>4.28</v>
      </c>
      <c r="L35" s="7">
        <f>IFERROR(__xludf.DUMMYFUNCTION("""COMPUTED_VALUE"""),1.5)</f>
        <v>1.5</v>
      </c>
    </row>
    <row r="36">
      <c r="A36" s="3">
        <v>35.0</v>
      </c>
      <c r="B36" s="7">
        <f t="shared" ref="B36:C36" si="72">I36</f>
        <v>-31.22</v>
      </c>
      <c r="C36" s="7">
        <f t="shared" si="72"/>
        <v>3.5</v>
      </c>
      <c r="F36" s="7">
        <f t="shared" si="7"/>
        <v>6.5</v>
      </c>
      <c r="G36" s="7">
        <f t="shared" si="8"/>
        <v>-3</v>
      </c>
      <c r="H36" s="7">
        <f t="shared" si="4"/>
        <v>-4.139</v>
      </c>
      <c r="I36" s="7">
        <f t="shared" ref="I36:J36" si="73">I35+K36</f>
        <v>-31.22</v>
      </c>
      <c r="J36" s="7">
        <f t="shared" si="73"/>
        <v>3.5</v>
      </c>
      <c r="K36" s="7">
        <f>IFERROR(__xludf.DUMMYFUNCTION("""COMPUTED_VALUE"""),1.5)</f>
        <v>1.5</v>
      </c>
      <c r="L36" s="7">
        <f>IFERROR(__xludf.DUMMYFUNCTION("""COMPUTED_VALUE"""),0.0)</f>
        <v>0</v>
      </c>
    </row>
    <row r="37">
      <c r="A37" s="3">
        <v>36.0</v>
      </c>
      <c r="B37" s="7">
        <f t="shared" ref="B37:C37" si="74">I37</f>
        <v>-24.82</v>
      </c>
      <c r="C37" s="7">
        <f t="shared" si="74"/>
        <v>4</v>
      </c>
      <c r="F37" s="7">
        <f t="shared" si="7"/>
        <v>6.5</v>
      </c>
      <c r="G37" s="7">
        <f t="shared" si="8"/>
        <v>-2.5</v>
      </c>
      <c r="H37" s="7">
        <f t="shared" si="4"/>
        <v>-4.139</v>
      </c>
      <c r="I37" s="7">
        <f t="shared" ref="I37:J37" si="75">I36+K37</f>
        <v>-24.82</v>
      </c>
      <c r="J37" s="7">
        <f t="shared" si="75"/>
        <v>4</v>
      </c>
      <c r="K37" s="7">
        <f>IFERROR(__xludf.DUMMYFUNCTION("""COMPUTED_VALUE"""),6.4)</f>
        <v>6.4</v>
      </c>
      <c r="L37" s="7">
        <f>IFERROR(__xludf.DUMMYFUNCTION("""COMPUTED_VALUE"""),0.5)</f>
        <v>0.5</v>
      </c>
    </row>
    <row r="38">
      <c r="A38" s="3">
        <v>37.0</v>
      </c>
      <c r="B38" s="7">
        <f t="shared" ref="B38:C38" si="76">I38</f>
        <v>-22.41</v>
      </c>
      <c r="C38" s="7">
        <f t="shared" si="76"/>
        <v>4.5</v>
      </c>
      <c r="F38" s="7">
        <f t="shared" si="7"/>
        <v>6.5</v>
      </c>
      <c r="G38" s="7">
        <f t="shared" si="8"/>
        <v>-2</v>
      </c>
      <c r="H38" s="7">
        <f t="shared" si="4"/>
        <v>-4.139</v>
      </c>
      <c r="I38" s="7">
        <f t="shared" ref="I38:J38" si="77">I37+K38</f>
        <v>-22.41</v>
      </c>
      <c r="J38" s="7">
        <f t="shared" si="77"/>
        <v>4.5</v>
      </c>
      <c r="K38" s="7">
        <f>IFERROR(__xludf.DUMMYFUNCTION("""COMPUTED_VALUE"""),2.41)</f>
        <v>2.41</v>
      </c>
      <c r="L38" s="7">
        <f>IFERROR(__xludf.DUMMYFUNCTION("""COMPUTED_VALUE"""),0.5)</f>
        <v>0.5</v>
      </c>
    </row>
    <row r="39">
      <c r="A39" s="3">
        <v>38.0</v>
      </c>
      <c r="B39" s="7">
        <f t="shared" ref="B39:C39" si="78">I39</f>
        <v>-29.05</v>
      </c>
      <c r="C39" s="7">
        <f t="shared" si="78"/>
        <v>3.5</v>
      </c>
      <c r="F39" s="7">
        <f t="shared" si="7"/>
        <v>6.5</v>
      </c>
      <c r="G39" s="7">
        <f t="shared" si="8"/>
        <v>-3</v>
      </c>
      <c r="H39" s="7">
        <f t="shared" si="4"/>
        <v>-4.139</v>
      </c>
      <c r="I39" s="7">
        <f t="shared" ref="I39:J39" si="79">I38+K39</f>
        <v>-29.05</v>
      </c>
      <c r="J39" s="7">
        <f t="shared" si="79"/>
        <v>3.5</v>
      </c>
      <c r="K39" s="7">
        <f>IFERROR(__xludf.DUMMYFUNCTION("""COMPUTED_VALUE"""),-6.64)</f>
        <v>-6.64</v>
      </c>
      <c r="L39" s="7">
        <f>IFERROR(__xludf.DUMMYFUNCTION("""COMPUTED_VALUE"""),-1.0)</f>
        <v>-1</v>
      </c>
    </row>
    <row r="40">
      <c r="A40" s="3">
        <v>39.0</v>
      </c>
      <c r="B40" s="7">
        <f t="shared" ref="B40:C40" si="80">I40</f>
        <v>-16.65</v>
      </c>
      <c r="C40" s="7">
        <f t="shared" si="80"/>
        <v>5</v>
      </c>
      <c r="F40" s="7">
        <f t="shared" si="7"/>
        <v>6.5</v>
      </c>
      <c r="G40" s="7">
        <f t="shared" si="8"/>
        <v>-1.5</v>
      </c>
      <c r="H40" s="7">
        <f t="shared" si="4"/>
        <v>-4.139</v>
      </c>
      <c r="I40" s="7">
        <f t="shared" ref="I40:J40" si="81">I39+K40</f>
        <v>-16.65</v>
      </c>
      <c r="J40" s="7">
        <f t="shared" si="81"/>
        <v>5</v>
      </c>
      <c r="K40" s="7">
        <f>IFERROR(__xludf.DUMMYFUNCTION("""COMPUTED_VALUE"""),12.4)</f>
        <v>12.4</v>
      </c>
      <c r="L40" s="7">
        <f>IFERROR(__xludf.DUMMYFUNCTION("""COMPUTED_VALUE"""),1.5)</f>
        <v>1.5</v>
      </c>
    </row>
    <row r="41">
      <c r="A41" s="3">
        <v>40.0</v>
      </c>
      <c r="B41" s="7">
        <f t="shared" ref="B41:C41" si="82">I41</f>
        <v>-8.53</v>
      </c>
      <c r="C41" s="7">
        <f t="shared" si="82"/>
        <v>6.5</v>
      </c>
      <c r="F41" s="7">
        <f t="shared" si="7"/>
        <v>6.5</v>
      </c>
      <c r="G41" s="7">
        <f t="shared" si="8"/>
        <v>0</v>
      </c>
      <c r="H41" s="7">
        <f t="shared" si="4"/>
        <v>-4.139</v>
      </c>
      <c r="I41" s="7">
        <f t="shared" ref="I41:J41" si="83">I40+K41</f>
        <v>-8.53</v>
      </c>
      <c r="J41" s="7">
        <f t="shared" si="83"/>
        <v>6.5</v>
      </c>
      <c r="K41" s="7">
        <f>IFERROR(__xludf.DUMMYFUNCTION("""COMPUTED_VALUE"""),8.12)</f>
        <v>8.12</v>
      </c>
      <c r="L41" s="7">
        <f>IFERROR(__xludf.DUMMYFUNCTION("""COMPUTED_VALUE"""),1.5)</f>
        <v>1.5</v>
      </c>
    </row>
    <row r="42">
      <c r="A42" s="3">
        <v>41.0</v>
      </c>
      <c r="B42" s="7">
        <f t="shared" ref="B42:C42" si="84">I42</f>
        <v>-21.53</v>
      </c>
      <c r="C42" s="7">
        <f t="shared" si="84"/>
        <v>5.5</v>
      </c>
      <c r="F42" s="7">
        <f t="shared" si="7"/>
        <v>6.5</v>
      </c>
      <c r="G42" s="7">
        <f t="shared" si="8"/>
        <v>-1</v>
      </c>
      <c r="H42" s="7">
        <f t="shared" si="4"/>
        <v>-4.139</v>
      </c>
      <c r="I42" s="7">
        <f t="shared" ref="I42:J42" si="85">I41+K42</f>
        <v>-21.53</v>
      </c>
      <c r="J42" s="7">
        <f t="shared" si="85"/>
        <v>5.5</v>
      </c>
      <c r="K42" s="7">
        <f>IFERROR(__xludf.DUMMYFUNCTION("""COMPUTED_VALUE"""),-13.0)</f>
        <v>-13</v>
      </c>
      <c r="L42" s="7">
        <f>IFERROR(__xludf.DUMMYFUNCTION("""COMPUTED_VALUE"""),-1.0)</f>
        <v>-1</v>
      </c>
    </row>
    <row r="43">
      <c r="A43" s="3">
        <v>42.0</v>
      </c>
      <c r="B43" s="7">
        <f t="shared" ref="B43:C43" si="86">I43</f>
        <v>1.47</v>
      </c>
      <c r="C43" s="7">
        <f t="shared" si="86"/>
        <v>7</v>
      </c>
      <c r="F43" s="7">
        <f t="shared" si="7"/>
        <v>7</v>
      </c>
      <c r="G43" s="7">
        <f t="shared" si="8"/>
        <v>0</v>
      </c>
      <c r="H43" s="7">
        <f t="shared" si="4"/>
        <v>-4.139</v>
      </c>
      <c r="I43" s="7">
        <f t="shared" ref="I43:J43" si="87">I42+K43</f>
        <v>1.47</v>
      </c>
      <c r="J43" s="7">
        <f t="shared" si="87"/>
        <v>7</v>
      </c>
      <c r="K43" s="7">
        <f>IFERROR(__xludf.DUMMYFUNCTION("""COMPUTED_VALUE"""),23.0)</f>
        <v>23</v>
      </c>
      <c r="L43" s="7">
        <f>IFERROR(__xludf.DUMMYFUNCTION("""COMPUTED_VALUE"""),1.5)</f>
        <v>1.5</v>
      </c>
    </row>
    <row r="44">
      <c r="A44" s="3">
        <v>43.0</v>
      </c>
      <c r="B44" s="7">
        <f t="shared" ref="B44:C44" si="88">I44</f>
        <v>7.47</v>
      </c>
      <c r="C44" s="7">
        <f t="shared" si="88"/>
        <v>7.5</v>
      </c>
      <c r="F44" s="7">
        <f t="shared" si="7"/>
        <v>7.5</v>
      </c>
      <c r="G44" s="7">
        <f t="shared" si="8"/>
        <v>0</v>
      </c>
      <c r="H44" s="7">
        <f t="shared" si="4"/>
        <v>-4.139</v>
      </c>
      <c r="I44" s="7">
        <f t="shared" ref="I44:J44" si="89">I43+K44</f>
        <v>7.47</v>
      </c>
      <c r="J44" s="7">
        <f t="shared" si="89"/>
        <v>7.5</v>
      </c>
      <c r="K44" s="7">
        <f>IFERROR(__xludf.DUMMYFUNCTION("""COMPUTED_VALUE"""),6.0)</f>
        <v>6</v>
      </c>
      <c r="L44" s="7">
        <f>IFERROR(__xludf.DUMMYFUNCTION("""COMPUTED_VALUE"""),0.5)</f>
        <v>0.5</v>
      </c>
    </row>
    <row r="45">
      <c r="A45" s="3">
        <v>44.0</v>
      </c>
      <c r="B45" s="7">
        <f t="shared" ref="B45:C45" si="90">I45</f>
        <v>-6.53</v>
      </c>
      <c r="C45" s="7">
        <f t="shared" si="90"/>
        <v>7.5</v>
      </c>
      <c r="F45" s="7">
        <f t="shared" si="7"/>
        <v>7.5</v>
      </c>
      <c r="G45" s="7">
        <f t="shared" si="8"/>
        <v>0</v>
      </c>
      <c r="H45" s="7">
        <f t="shared" si="4"/>
        <v>-4.139</v>
      </c>
      <c r="I45" s="7">
        <f t="shared" ref="I45:J45" si="91">I44+K45</f>
        <v>-6.53</v>
      </c>
      <c r="J45" s="7">
        <f t="shared" si="91"/>
        <v>7.5</v>
      </c>
      <c r="K45" s="7">
        <f>IFERROR(__xludf.DUMMYFUNCTION("""COMPUTED_VALUE"""),-14.0)</f>
        <v>-14</v>
      </c>
    </row>
    <row r="46">
      <c r="A46" s="3">
        <v>45.0</v>
      </c>
      <c r="B46" s="7">
        <f t="shared" ref="B46:C46" si="92">I46</f>
        <v>-24.53</v>
      </c>
      <c r="C46" s="7">
        <f t="shared" si="92"/>
        <v>7.5</v>
      </c>
      <c r="F46" s="7">
        <f t="shared" si="7"/>
        <v>7.5</v>
      </c>
      <c r="G46" s="7">
        <f t="shared" si="8"/>
        <v>0</v>
      </c>
      <c r="H46" s="7">
        <f t="shared" si="4"/>
        <v>-4.139</v>
      </c>
      <c r="I46" s="7">
        <f t="shared" ref="I46:J46" si="93">I45+K46</f>
        <v>-24.53</v>
      </c>
      <c r="J46" s="7">
        <f t="shared" si="93"/>
        <v>7.5</v>
      </c>
      <c r="K46" s="7">
        <f>IFERROR(__xludf.DUMMYFUNCTION("""COMPUTED_VALUE"""),-18.0)</f>
        <v>-18</v>
      </c>
    </row>
    <row r="47">
      <c r="A47" s="3">
        <v>46.0</v>
      </c>
      <c r="B47" s="7">
        <f t="shared" ref="B47:C47" si="94">I47</f>
        <v>-42.53</v>
      </c>
      <c r="C47" s="7">
        <f t="shared" si="94"/>
        <v>7.5</v>
      </c>
      <c r="F47" s="7">
        <f t="shared" si="7"/>
        <v>7.5</v>
      </c>
      <c r="G47" s="7">
        <f t="shared" si="8"/>
        <v>0</v>
      </c>
      <c r="H47" s="7">
        <f t="shared" si="4"/>
        <v>-4.139</v>
      </c>
      <c r="I47" s="7">
        <f t="shared" ref="I47:J47" si="95">I46+K47</f>
        <v>-42.53</v>
      </c>
      <c r="J47" s="7">
        <f t="shared" si="95"/>
        <v>7.5</v>
      </c>
      <c r="K47" s="7">
        <f>IFERROR(__xludf.DUMMYFUNCTION("""COMPUTED_VALUE"""),-18.0)</f>
        <v>-18</v>
      </c>
    </row>
    <row r="48">
      <c r="A48" s="3">
        <v>47.0</v>
      </c>
      <c r="B48" s="7">
        <f t="shared" ref="B48:C48" si="96">I48</f>
        <v>-56.53</v>
      </c>
      <c r="C48" s="7">
        <f t="shared" si="96"/>
        <v>7.5</v>
      </c>
      <c r="F48" s="7">
        <f t="shared" si="7"/>
        <v>7.5</v>
      </c>
      <c r="G48" s="7">
        <f t="shared" si="8"/>
        <v>0</v>
      </c>
      <c r="H48" s="7">
        <f t="shared" si="4"/>
        <v>-4.139</v>
      </c>
      <c r="I48" s="7">
        <f t="shared" ref="I48:J48" si="97">I47+K48</f>
        <v>-56.53</v>
      </c>
      <c r="J48" s="7">
        <f t="shared" si="97"/>
        <v>7.5</v>
      </c>
      <c r="K48" s="7">
        <f>IFERROR(__xludf.DUMMYFUNCTION("""COMPUTED_VALUE"""),-14.0)</f>
        <v>-14</v>
      </c>
    </row>
    <row r="49">
      <c r="A49" s="3">
        <v>48.0</v>
      </c>
      <c r="B49" s="7">
        <f t="shared" ref="B49:C49" si="98">I49</f>
        <v>-72.01</v>
      </c>
      <c r="C49" s="7">
        <f t="shared" si="98"/>
        <v>7.5</v>
      </c>
      <c r="F49" s="7">
        <f t="shared" si="7"/>
        <v>7.5</v>
      </c>
      <c r="G49" s="7">
        <f t="shared" si="8"/>
        <v>0</v>
      </c>
      <c r="H49" s="7">
        <f t="shared" si="4"/>
        <v>-4.139</v>
      </c>
      <c r="I49" s="7">
        <f t="shared" ref="I49:J49" si="99">I48+K49</f>
        <v>-72.01</v>
      </c>
      <c r="J49" s="7">
        <f t="shared" si="99"/>
        <v>7.5</v>
      </c>
      <c r="K49" s="7">
        <f>IFERROR(__xludf.DUMMYFUNCTION("""COMPUTED_VALUE"""),-15.48)</f>
        <v>-15.48</v>
      </c>
    </row>
    <row r="50">
      <c r="A50" s="3">
        <v>49.0</v>
      </c>
      <c r="B50" s="7">
        <f t="shared" ref="B50:C50" si="100">I50</f>
        <v>-53.1</v>
      </c>
      <c r="C50" s="7">
        <f t="shared" si="100"/>
        <v>7.5</v>
      </c>
      <c r="F50" s="7">
        <f t="shared" si="7"/>
        <v>7.5</v>
      </c>
      <c r="G50" s="7">
        <f t="shared" si="8"/>
        <v>0</v>
      </c>
      <c r="H50" s="7">
        <f t="shared" si="4"/>
        <v>-4.139</v>
      </c>
      <c r="I50" s="7">
        <f t="shared" ref="I50:J50" si="101">I49+K50</f>
        <v>-53.1</v>
      </c>
      <c r="J50" s="7">
        <f t="shared" si="101"/>
        <v>7.5</v>
      </c>
      <c r="K50" s="7">
        <f>IFERROR(__xludf.DUMMYFUNCTION("""COMPUTED_VALUE"""),18.91)</f>
        <v>18.91</v>
      </c>
    </row>
    <row r="51">
      <c r="A51" s="3">
        <v>50.0</v>
      </c>
      <c r="B51" s="7">
        <f t="shared" ref="B51:C51" si="102">I51</f>
        <v>-35.9</v>
      </c>
      <c r="C51" s="7">
        <f t="shared" si="102"/>
        <v>7.5</v>
      </c>
      <c r="F51" s="7">
        <f t="shared" si="7"/>
        <v>7.5</v>
      </c>
      <c r="G51" s="7">
        <f t="shared" si="8"/>
        <v>0</v>
      </c>
      <c r="H51" s="7">
        <f t="shared" si="4"/>
        <v>-4.139</v>
      </c>
      <c r="I51" s="7">
        <f t="shared" ref="I51:J51" si="103">I50+K51</f>
        <v>-35.9</v>
      </c>
      <c r="J51" s="7">
        <f t="shared" si="103"/>
        <v>7.5</v>
      </c>
      <c r="K51" s="7">
        <f>IFERROR(__xludf.DUMMYFUNCTION("""COMPUTED_VALUE"""),17.2)</f>
        <v>17.2</v>
      </c>
    </row>
    <row r="52">
      <c r="A52" s="3">
        <v>51.0</v>
      </c>
      <c r="B52" s="7">
        <f t="shared" ref="B52:C52" si="104">I52</f>
        <v>-25.26</v>
      </c>
      <c r="C52" s="7">
        <f t="shared" si="104"/>
        <v>7.5</v>
      </c>
      <c r="F52" s="7">
        <f t="shared" si="7"/>
        <v>7.5</v>
      </c>
      <c r="G52" s="7">
        <f t="shared" si="8"/>
        <v>0</v>
      </c>
      <c r="H52" s="7">
        <f t="shared" si="4"/>
        <v>-4.139</v>
      </c>
      <c r="I52" s="7">
        <f t="shared" ref="I52:J52" si="105">I51+K52</f>
        <v>-25.26</v>
      </c>
      <c r="J52" s="7">
        <f t="shared" si="105"/>
        <v>7.5</v>
      </c>
      <c r="K52" s="7">
        <f>IFERROR(__xludf.DUMMYFUNCTION("""COMPUTED_VALUE"""),10.64)</f>
        <v>10.64</v>
      </c>
    </row>
    <row r="53">
      <c r="A53" s="3">
        <v>52.0</v>
      </c>
      <c r="B53" s="7">
        <f t="shared" ref="B53:C53" si="106">I53</f>
        <v>-7.06</v>
      </c>
      <c r="C53" s="7">
        <f t="shared" si="106"/>
        <v>7.5</v>
      </c>
      <c r="F53" s="7">
        <f t="shared" si="7"/>
        <v>7.5</v>
      </c>
      <c r="G53" s="7">
        <f t="shared" si="8"/>
        <v>0</v>
      </c>
      <c r="H53" s="7">
        <f t="shared" si="4"/>
        <v>-4.139</v>
      </c>
      <c r="I53" s="7">
        <f t="shared" ref="I53:J53" si="107">I52+K53</f>
        <v>-7.06</v>
      </c>
      <c r="J53" s="7">
        <f t="shared" si="107"/>
        <v>7.5</v>
      </c>
      <c r="K53" s="7">
        <f>IFERROR(__xludf.DUMMYFUNCTION("""COMPUTED_VALUE"""),18.2)</f>
        <v>18.2</v>
      </c>
    </row>
    <row r="54">
      <c r="A54" s="3">
        <v>53.0</v>
      </c>
      <c r="B54" s="7">
        <f t="shared" ref="B54:C54" si="108">I54</f>
        <v>-22.62</v>
      </c>
      <c r="C54" s="7">
        <f t="shared" si="108"/>
        <v>7.5</v>
      </c>
      <c r="F54" s="7">
        <f t="shared" si="7"/>
        <v>7.5</v>
      </c>
      <c r="G54" s="7">
        <f t="shared" si="8"/>
        <v>0</v>
      </c>
      <c r="H54" s="7">
        <f t="shared" si="4"/>
        <v>-4.139</v>
      </c>
      <c r="I54" s="7">
        <f t="shared" ref="I54:J54" si="109">I53+K54</f>
        <v>-22.62</v>
      </c>
      <c r="J54" s="7">
        <f t="shared" si="109"/>
        <v>7.5</v>
      </c>
      <c r="K54" s="7">
        <f>IFERROR(__xludf.DUMMYFUNCTION("""COMPUTED_VALUE"""),-15.56)</f>
        <v>-15.56</v>
      </c>
    </row>
    <row r="55">
      <c r="A55" s="3">
        <v>54.0</v>
      </c>
      <c r="B55" s="7">
        <f t="shared" ref="B55:C55" si="110">I55</f>
        <v>-14.02</v>
      </c>
      <c r="C55" s="7">
        <f t="shared" si="110"/>
        <v>7.5</v>
      </c>
      <c r="F55" s="7">
        <f t="shared" si="7"/>
        <v>7.5</v>
      </c>
      <c r="G55" s="7">
        <f t="shared" si="8"/>
        <v>0</v>
      </c>
      <c r="H55" s="7">
        <f t="shared" si="4"/>
        <v>-4.139</v>
      </c>
      <c r="I55" s="7">
        <f t="shared" ref="I55:J55" si="111">I54+K55</f>
        <v>-14.02</v>
      </c>
      <c r="J55" s="7">
        <f t="shared" si="111"/>
        <v>7.5</v>
      </c>
      <c r="K55" s="7">
        <f>IFERROR(__xludf.DUMMYFUNCTION("""COMPUTED_VALUE"""),8.6)</f>
        <v>8.6</v>
      </c>
    </row>
    <row r="56">
      <c r="A56" s="3">
        <v>55.0</v>
      </c>
      <c r="B56" s="7">
        <f t="shared" ref="B56:C56" si="112">I56</f>
        <v>-13.92</v>
      </c>
      <c r="C56" s="7">
        <f t="shared" si="112"/>
        <v>7.5</v>
      </c>
      <c r="F56" s="7">
        <f t="shared" si="7"/>
        <v>7.5</v>
      </c>
      <c r="G56" s="7">
        <f t="shared" si="8"/>
        <v>0</v>
      </c>
      <c r="H56" s="7">
        <f t="shared" si="4"/>
        <v>-4.139</v>
      </c>
      <c r="I56" s="7">
        <f t="shared" ref="I56:J56" si="113">I55+K56</f>
        <v>-13.92</v>
      </c>
      <c r="J56" s="7">
        <f t="shared" si="113"/>
        <v>7.5</v>
      </c>
      <c r="K56" s="7">
        <f>IFERROR(__xludf.DUMMYFUNCTION("""COMPUTED_VALUE"""),0.1)</f>
        <v>0.1</v>
      </c>
    </row>
    <row r="57">
      <c r="A57" s="3">
        <v>56.0</v>
      </c>
      <c r="B57" s="7">
        <f t="shared" ref="B57:C57" si="114">I57</f>
        <v>-28.52</v>
      </c>
      <c r="C57" s="7">
        <f t="shared" si="114"/>
        <v>7.5</v>
      </c>
      <c r="F57" s="7">
        <f t="shared" si="7"/>
        <v>7.5</v>
      </c>
      <c r="G57" s="7">
        <f t="shared" si="8"/>
        <v>0</v>
      </c>
      <c r="H57" s="7">
        <f t="shared" si="4"/>
        <v>-4.139</v>
      </c>
      <c r="I57" s="7">
        <f t="shared" ref="I57:J57" si="115">I56+K57</f>
        <v>-28.52</v>
      </c>
      <c r="J57" s="7">
        <f t="shared" si="115"/>
        <v>7.5</v>
      </c>
      <c r="K57" s="7">
        <f>IFERROR(__xludf.DUMMYFUNCTION("""COMPUTED_VALUE"""),-14.6)</f>
        <v>-14.6</v>
      </c>
    </row>
    <row r="58">
      <c r="A58" s="3">
        <v>57.0</v>
      </c>
      <c r="B58" s="7">
        <f t="shared" ref="B58:C58" si="116">I58</f>
        <v>-19.12</v>
      </c>
      <c r="C58" s="7">
        <f t="shared" si="116"/>
        <v>7.5</v>
      </c>
      <c r="F58" s="7">
        <f t="shared" si="7"/>
        <v>7.5</v>
      </c>
      <c r="G58" s="7">
        <f t="shared" si="8"/>
        <v>0</v>
      </c>
      <c r="H58" s="7">
        <f t="shared" si="4"/>
        <v>-4.139</v>
      </c>
      <c r="I58" s="7">
        <f t="shared" ref="I58:J58" si="117">I57+K58</f>
        <v>-19.12</v>
      </c>
      <c r="J58" s="7">
        <f t="shared" si="117"/>
        <v>7.5</v>
      </c>
      <c r="K58" s="7">
        <f>IFERROR(__xludf.DUMMYFUNCTION("""COMPUTED_VALUE"""),9.4)</f>
        <v>9.4</v>
      </c>
    </row>
    <row r="59">
      <c r="A59" s="3">
        <v>58.0</v>
      </c>
      <c r="B59" s="7">
        <f t="shared" ref="B59:C59" si="118">I59</f>
        <v>-16.46</v>
      </c>
      <c r="C59" s="7">
        <f t="shared" si="118"/>
        <v>7.5</v>
      </c>
      <c r="F59" s="7">
        <f t="shared" si="7"/>
        <v>7.5</v>
      </c>
      <c r="G59" s="7">
        <f t="shared" si="8"/>
        <v>0</v>
      </c>
      <c r="H59" s="7">
        <f t="shared" si="4"/>
        <v>-4.139</v>
      </c>
      <c r="I59" s="7">
        <f t="shared" ref="I59:J59" si="119">I58+K59</f>
        <v>-16.46</v>
      </c>
      <c r="J59" s="7">
        <f t="shared" si="119"/>
        <v>7.5</v>
      </c>
      <c r="K59" s="7">
        <f>IFERROR(__xludf.DUMMYFUNCTION("""COMPUTED_VALUE"""),2.66)</f>
        <v>2.66</v>
      </c>
    </row>
    <row r="60">
      <c r="A60" s="3">
        <v>59.0</v>
      </c>
      <c r="B60" s="7">
        <f t="shared" ref="B60:C60" si="120">I60</f>
        <v>-25.57</v>
      </c>
      <c r="C60" s="7">
        <f t="shared" si="120"/>
        <v>7.5</v>
      </c>
      <c r="F60" s="7">
        <f t="shared" si="7"/>
        <v>7.5</v>
      </c>
      <c r="G60" s="7">
        <f t="shared" si="8"/>
        <v>0</v>
      </c>
      <c r="H60" s="7">
        <f t="shared" si="4"/>
        <v>-4.139</v>
      </c>
      <c r="I60" s="7">
        <f t="shared" ref="I60:J60" si="121">I59+K60</f>
        <v>-25.57</v>
      </c>
      <c r="J60" s="7">
        <f t="shared" si="121"/>
        <v>7.5</v>
      </c>
      <c r="K60" s="7">
        <f>IFERROR(__xludf.DUMMYFUNCTION("""COMPUTED_VALUE"""),-9.11)</f>
        <v>-9.11</v>
      </c>
    </row>
    <row r="61">
      <c r="A61" s="3">
        <v>60.0</v>
      </c>
      <c r="B61" s="7">
        <f t="shared" ref="B61:C61" si="122">I61</f>
        <v>-11.97</v>
      </c>
      <c r="C61" s="7">
        <f t="shared" si="122"/>
        <v>7.5</v>
      </c>
      <c r="F61" s="7">
        <f t="shared" si="7"/>
        <v>7.5</v>
      </c>
      <c r="G61" s="7">
        <f t="shared" si="8"/>
        <v>0</v>
      </c>
      <c r="H61" s="7">
        <f t="shared" si="4"/>
        <v>-4.139</v>
      </c>
      <c r="I61" s="7">
        <f t="shared" ref="I61:J61" si="123">I60+K61</f>
        <v>-11.97</v>
      </c>
      <c r="J61" s="7">
        <f t="shared" si="123"/>
        <v>7.5</v>
      </c>
      <c r="K61" s="7">
        <f>IFERROR(__xludf.DUMMYFUNCTION("""COMPUTED_VALUE"""),13.6)</f>
        <v>13.6</v>
      </c>
    </row>
    <row r="62">
      <c r="A62" s="3">
        <v>61.0</v>
      </c>
      <c r="B62" s="7">
        <f t="shared" ref="B62:C62" si="124">I62</f>
        <v>-10.9</v>
      </c>
      <c r="C62" s="7">
        <f t="shared" si="124"/>
        <v>7.5</v>
      </c>
      <c r="F62" s="7">
        <f t="shared" si="7"/>
        <v>7.5</v>
      </c>
      <c r="G62" s="7">
        <f t="shared" si="8"/>
        <v>0</v>
      </c>
      <c r="H62" s="7">
        <f t="shared" si="4"/>
        <v>-4.139</v>
      </c>
      <c r="I62" s="7">
        <f t="shared" ref="I62:J62" si="125">I61+K62</f>
        <v>-10.9</v>
      </c>
      <c r="J62" s="7">
        <f t="shared" si="125"/>
        <v>7.5</v>
      </c>
      <c r="K62" s="7">
        <f>IFERROR(__xludf.DUMMYFUNCTION("""COMPUTED_VALUE"""),1.07)</f>
        <v>1.07</v>
      </c>
    </row>
    <row r="63">
      <c r="A63" s="3">
        <v>62.0</v>
      </c>
      <c r="B63" s="7">
        <f t="shared" ref="B63:C63" si="126">I63</f>
        <v>0.3</v>
      </c>
      <c r="C63" s="7">
        <f t="shared" si="126"/>
        <v>7.5</v>
      </c>
      <c r="F63" s="7">
        <f t="shared" si="7"/>
        <v>7.5</v>
      </c>
      <c r="G63" s="7">
        <f t="shared" si="8"/>
        <v>0</v>
      </c>
      <c r="H63" s="7">
        <f t="shared" si="4"/>
        <v>-4.139</v>
      </c>
      <c r="I63" s="7">
        <f t="shared" ref="I63:J63" si="127">I62+K63</f>
        <v>0.3</v>
      </c>
      <c r="J63" s="7">
        <f t="shared" si="127"/>
        <v>7.5</v>
      </c>
      <c r="K63" s="7">
        <f>IFERROR(__xludf.DUMMYFUNCTION("""COMPUTED_VALUE"""),11.2)</f>
        <v>11.2</v>
      </c>
    </row>
    <row r="64">
      <c r="A64" s="3">
        <v>63.0</v>
      </c>
      <c r="B64" s="7">
        <f t="shared" ref="B64:C64" si="128">I64</f>
        <v>182.3</v>
      </c>
      <c r="C64" s="7">
        <f t="shared" si="128"/>
        <v>7.5</v>
      </c>
      <c r="F64" s="7">
        <f t="shared" si="7"/>
        <v>7.5</v>
      </c>
      <c r="G64" s="7">
        <f t="shared" si="8"/>
        <v>0</v>
      </c>
      <c r="H64" s="7">
        <f t="shared" si="4"/>
        <v>-4.139</v>
      </c>
      <c r="I64" s="7">
        <f t="shared" ref="I64:J64" si="129">I63+K64</f>
        <v>182.3</v>
      </c>
      <c r="J64" s="7">
        <f t="shared" si="129"/>
        <v>7.5</v>
      </c>
      <c r="K64" s="7">
        <f>IFERROR(__xludf.DUMMYFUNCTION("""COMPUTED_VALUE"""),182.0)</f>
        <v>182</v>
      </c>
    </row>
    <row r="65">
      <c r="A65" s="3">
        <v>64.0</v>
      </c>
      <c r="B65" s="7">
        <f t="shared" ref="B65:C65" si="130">I65</f>
        <v>103.9</v>
      </c>
      <c r="C65" s="7">
        <f t="shared" si="130"/>
        <v>7.5</v>
      </c>
      <c r="F65" s="7">
        <f t="shared" si="7"/>
        <v>7.5</v>
      </c>
      <c r="G65" s="7">
        <f t="shared" si="8"/>
        <v>0</v>
      </c>
      <c r="H65" s="7">
        <f t="shared" si="4"/>
        <v>-4.139</v>
      </c>
      <c r="I65" s="7">
        <f t="shared" ref="I65:J65" si="131">I64+K65</f>
        <v>103.9</v>
      </c>
      <c r="J65" s="7">
        <f t="shared" si="131"/>
        <v>7.5</v>
      </c>
      <c r="K65" s="7">
        <f>IFERROR(__xludf.DUMMYFUNCTION("""COMPUTED_VALUE"""),-78.4)</f>
        <v>-78.4</v>
      </c>
    </row>
    <row r="66">
      <c r="A66" s="3">
        <v>65.0</v>
      </c>
      <c r="B66" s="7">
        <f t="shared" ref="B66:C66" si="132">I66</f>
        <v>165.22</v>
      </c>
      <c r="C66" s="7">
        <f t="shared" si="132"/>
        <v>7.5</v>
      </c>
      <c r="F66" s="7">
        <f t="shared" si="7"/>
        <v>7.5</v>
      </c>
      <c r="G66" s="7">
        <f t="shared" si="8"/>
        <v>0</v>
      </c>
      <c r="H66" s="7">
        <f t="shared" si="4"/>
        <v>-4.139</v>
      </c>
      <c r="I66" s="7">
        <f t="shared" ref="I66:J66" si="133">I65+K66</f>
        <v>165.22</v>
      </c>
      <c r="J66" s="7">
        <f t="shared" si="133"/>
        <v>7.5</v>
      </c>
      <c r="K66" s="7">
        <f>IFERROR(__xludf.DUMMYFUNCTION("""COMPUTED_VALUE"""),61.32)</f>
        <v>61.32</v>
      </c>
    </row>
    <row r="67">
      <c r="A67" s="3">
        <v>66.0</v>
      </c>
      <c r="B67" s="7">
        <f t="shared" ref="B67:C67" si="134">B66+D67</f>
        <v>342.88</v>
      </c>
      <c r="C67" s="7">
        <f t="shared" si="134"/>
        <v>10.65986056</v>
      </c>
      <c r="D67" s="7">
        <f>IFERROR(__xludf.DUMMYFUNCTION("FILTER(TradingNote!H4:H1001, ISNUMBER(TradingNote!H4:H1001))"),177.66)</f>
        <v>177.66</v>
      </c>
      <c r="E67" s="7">
        <f>IFERROR(__xludf.DUMMYFUNCTION("FILTER(TradingNote!G4:G1001, ISNUMBER(TradingNote!G4:G1001))"),3.1598605577686496)</f>
        <v>3.159860558</v>
      </c>
      <c r="F67" s="7">
        <f>C67</f>
        <v>10.65986056</v>
      </c>
      <c r="G67" s="7">
        <f>0</f>
        <v>0</v>
      </c>
      <c r="H67" s="7">
        <f t="shared" si="4"/>
        <v>-4.139</v>
      </c>
      <c r="I67" s="7">
        <f t="shared" ref="I67:J67" si="135">I66+K67</f>
        <v>192.73</v>
      </c>
      <c r="J67" s="7">
        <f t="shared" si="135"/>
        <v>7.5</v>
      </c>
      <c r="K67" s="7">
        <f>IFERROR(__xludf.DUMMYFUNCTION("""COMPUTED_VALUE"""),27.51)</f>
        <v>27.51</v>
      </c>
    </row>
    <row r="68">
      <c r="A68" s="3">
        <v>67.0</v>
      </c>
      <c r="B68" s="7">
        <f t="shared" ref="B68:C68" si="136">B67+D68</f>
        <v>294.86</v>
      </c>
      <c r="C68" s="7">
        <f t="shared" si="136"/>
        <v>9.659860558</v>
      </c>
      <c r="D68" s="7">
        <f>IFERROR(__xludf.DUMMYFUNCTION("""COMPUTED_VALUE"""),-48.02)</f>
        <v>-48.02</v>
      </c>
      <c r="E68" s="7">
        <f>IFERROR(__xludf.DUMMYFUNCTION("""COMPUTED_VALUE"""),-1.0000000000000213)</f>
        <v>-1</v>
      </c>
      <c r="F68" s="7">
        <f t="shared" ref="F68:F131" si="139">MAX(F67,C68)</f>
        <v>10.65986056</v>
      </c>
      <c r="G68" s="7">
        <f t="shared" ref="G68:G131" si="140">C68-F68</f>
        <v>-1</v>
      </c>
      <c r="H68" s="7">
        <f t="shared" si="4"/>
        <v>-4.139</v>
      </c>
      <c r="I68" s="7">
        <f t="shared" ref="I68:J68" si="137">I67+K68</f>
        <v>123.22</v>
      </c>
      <c r="J68" s="7">
        <f t="shared" si="137"/>
        <v>7.5</v>
      </c>
      <c r="K68" s="7">
        <f>IFERROR(__xludf.DUMMYFUNCTION("""COMPUTED_VALUE"""),-69.51)</f>
        <v>-69.51</v>
      </c>
    </row>
    <row r="69">
      <c r="A69" s="3">
        <v>68.0</v>
      </c>
      <c r="B69" s="7">
        <f t="shared" ref="B69:C69" si="138">B68+D69</f>
        <v>245.72</v>
      </c>
      <c r="C69" s="7">
        <f t="shared" si="138"/>
        <v>8.659860558</v>
      </c>
      <c r="D69" s="7">
        <f>IFERROR(__xludf.DUMMYFUNCTION("""COMPUTED_VALUE"""),-49.14)</f>
        <v>-49.14</v>
      </c>
      <c r="E69" s="7">
        <f>IFERROR(__xludf.DUMMYFUNCTION("""COMPUTED_VALUE"""),-0.9999999999998342)</f>
        <v>-1</v>
      </c>
      <c r="F69" s="7">
        <f t="shared" si="139"/>
        <v>10.65986056</v>
      </c>
      <c r="G69" s="7">
        <f t="shared" si="140"/>
        <v>-2</v>
      </c>
      <c r="H69" s="7">
        <f t="shared" si="4"/>
        <v>-4.139</v>
      </c>
      <c r="I69" s="7">
        <f t="shared" ref="I69:J69" si="141">I68+K69</f>
        <v>239.22</v>
      </c>
      <c r="J69" s="7">
        <f t="shared" si="141"/>
        <v>7.5</v>
      </c>
      <c r="K69" s="7">
        <f>IFERROR(__xludf.DUMMYFUNCTION("""COMPUTED_VALUE"""),116.0)</f>
        <v>116</v>
      </c>
    </row>
    <row r="70">
      <c r="A70" s="3">
        <v>69.0</v>
      </c>
      <c r="B70" s="7">
        <f t="shared" ref="B70:C70" si="142">B69+D70</f>
        <v>201.9</v>
      </c>
      <c r="C70" s="7">
        <f t="shared" si="142"/>
        <v>7.659860558</v>
      </c>
      <c r="D70" s="7">
        <f>IFERROR(__xludf.DUMMYFUNCTION("""COMPUTED_VALUE"""),-43.82)</f>
        <v>-43.82</v>
      </c>
      <c r="E70" s="7">
        <f>IFERROR(__xludf.DUMMYFUNCTION("""COMPUTED_VALUE"""),-1.0000000000000233)</f>
        <v>-1</v>
      </c>
      <c r="F70" s="7">
        <f t="shared" si="139"/>
        <v>10.65986056</v>
      </c>
      <c r="G70" s="7">
        <f t="shared" si="140"/>
        <v>-3</v>
      </c>
      <c r="H70" s="7">
        <f t="shared" si="4"/>
        <v>-4.139</v>
      </c>
      <c r="I70" s="7">
        <f t="shared" ref="I70:J70" si="143">I69+K70</f>
        <v>217.22</v>
      </c>
      <c r="J70" s="7">
        <f t="shared" si="143"/>
        <v>7.5</v>
      </c>
      <c r="K70" s="7">
        <f>IFERROR(__xludf.DUMMYFUNCTION("""COMPUTED_VALUE"""),-22.0)</f>
        <v>-22</v>
      </c>
    </row>
    <row r="71">
      <c r="A71" s="3">
        <v>70.0</v>
      </c>
      <c r="B71" s="7">
        <f t="shared" ref="B71:C71" si="144">B70+D71</f>
        <v>173.27</v>
      </c>
      <c r="C71" s="7">
        <f t="shared" si="144"/>
        <v>6.659860558</v>
      </c>
      <c r="D71" s="7">
        <f>IFERROR(__xludf.DUMMYFUNCTION("""COMPUTED_VALUE"""),-28.63)</f>
        <v>-28.63</v>
      </c>
      <c r="E71" s="7">
        <f>IFERROR(__xludf.DUMMYFUNCTION("""COMPUTED_VALUE"""),-0.9999999999997866)</f>
        <v>-1</v>
      </c>
      <c r="F71" s="7">
        <f t="shared" si="139"/>
        <v>10.65986056</v>
      </c>
      <c r="G71" s="7">
        <f t="shared" si="140"/>
        <v>-4</v>
      </c>
      <c r="H71" s="7">
        <f t="shared" si="4"/>
        <v>-4.139</v>
      </c>
      <c r="I71" s="7">
        <f t="shared" ref="I71:J71" si="145">I70+K71</f>
        <v>71.34</v>
      </c>
      <c r="J71" s="7">
        <f t="shared" si="145"/>
        <v>7.5</v>
      </c>
      <c r="K71" s="7">
        <f>IFERROR(__xludf.DUMMYFUNCTION("""COMPUTED_VALUE"""),-145.88)</f>
        <v>-145.88</v>
      </c>
    </row>
    <row r="72">
      <c r="A72" s="3">
        <v>71.0</v>
      </c>
      <c r="B72" s="7">
        <f t="shared" ref="B72:C72" si="146">B71+D72</f>
        <v>211.35</v>
      </c>
      <c r="C72" s="7">
        <f t="shared" si="146"/>
        <v>7.659860558</v>
      </c>
      <c r="D72" s="7">
        <f>IFERROR(__xludf.DUMMYFUNCTION("""COMPUTED_VALUE"""),38.08)</f>
        <v>38.08</v>
      </c>
      <c r="E72" s="7">
        <f>IFERROR(__xludf.DUMMYFUNCTION("""COMPUTED_VALUE"""),0.9999999999999734)</f>
        <v>1</v>
      </c>
      <c r="F72" s="7">
        <f t="shared" si="139"/>
        <v>10.65986056</v>
      </c>
      <c r="G72" s="7">
        <f t="shared" si="140"/>
        <v>-3</v>
      </c>
      <c r="H72" s="7">
        <f t="shared" si="4"/>
        <v>-4.139</v>
      </c>
      <c r="I72" s="7">
        <f t="shared" ref="I72:J72" si="147">I71+K72</f>
        <v>98.22</v>
      </c>
      <c r="J72" s="7">
        <f t="shared" si="147"/>
        <v>7.5</v>
      </c>
      <c r="K72" s="7">
        <f>IFERROR(__xludf.DUMMYFUNCTION("""COMPUTED_VALUE"""),26.88)</f>
        <v>26.88</v>
      </c>
    </row>
    <row r="73">
      <c r="A73" s="3">
        <v>72.0</v>
      </c>
      <c r="B73" s="7">
        <f t="shared" ref="B73:C73" si="148">B72+D73</f>
        <v>146.83</v>
      </c>
      <c r="C73" s="7">
        <f t="shared" si="148"/>
        <v>6.660170443</v>
      </c>
      <c r="D73" s="7">
        <f>IFERROR(__xludf.DUMMYFUNCTION("""COMPUTED_VALUE"""),-64.52)</f>
        <v>-64.52</v>
      </c>
      <c r="E73" s="7">
        <f>IFERROR(__xludf.DUMMYFUNCTION("""COMPUTED_VALUE"""),-0.9996901146574504)</f>
        <v>-0.9996901147</v>
      </c>
      <c r="F73" s="7">
        <f t="shared" si="139"/>
        <v>10.65986056</v>
      </c>
      <c r="G73" s="7">
        <f t="shared" si="140"/>
        <v>-3.999690115</v>
      </c>
      <c r="H73" s="7">
        <f t="shared" si="4"/>
        <v>-4.139</v>
      </c>
    </row>
    <row r="74">
      <c r="A74" s="3">
        <v>73.0</v>
      </c>
      <c r="B74" s="7">
        <f t="shared" ref="B74:C74" si="149">B73+D74</f>
        <v>129.89</v>
      </c>
      <c r="C74" s="7">
        <f t="shared" si="149"/>
        <v>6.083979967</v>
      </c>
      <c r="D74" s="7">
        <f>IFERROR(__xludf.DUMMYFUNCTION("""COMPUTED_VALUE"""),-16.94)</f>
        <v>-16.94</v>
      </c>
      <c r="E74" s="7">
        <f>IFERROR(__xludf.DUMMYFUNCTION("""COMPUTED_VALUE"""),-0.5761904761904763)</f>
        <v>-0.5761904762</v>
      </c>
      <c r="F74" s="7">
        <f t="shared" si="139"/>
        <v>10.65986056</v>
      </c>
      <c r="G74" s="7">
        <f t="shared" si="140"/>
        <v>-4.575880591</v>
      </c>
      <c r="H74" s="7">
        <f t="shared" si="4"/>
        <v>-4.139</v>
      </c>
    </row>
    <row r="75">
      <c r="A75" s="3">
        <v>74.0</v>
      </c>
      <c r="B75" s="7">
        <f t="shared" ref="B75:C75" si="150">B74+D75</f>
        <v>133.95</v>
      </c>
      <c r="C75" s="7">
        <f t="shared" si="150"/>
        <v>6.222075205</v>
      </c>
      <c r="D75" s="7">
        <f>IFERROR(__xludf.DUMMYFUNCTION("""COMPUTED_VALUE"""),4.06)</f>
        <v>4.06</v>
      </c>
      <c r="E75" s="7">
        <f>IFERROR(__xludf.DUMMYFUNCTION("""COMPUTED_VALUE"""),0.13809523809523808)</f>
        <v>0.1380952381</v>
      </c>
      <c r="F75" s="7">
        <f t="shared" si="139"/>
        <v>10.65986056</v>
      </c>
      <c r="G75" s="7">
        <f t="shared" si="140"/>
        <v>-4.437785353</v>
      </c>
      <c r="H75" s="7">
        <f t="shared" si="4"/>
        <v>-4.139</v>
      </c>
    </row>
    <row r="76">
      <c r="A76" s="3">
        <v>75.0</v>
      </c>
      <c r="B76" s="7">
        <f t="shared" ref="B76:C76" si="151">B75+D76</f>
        <v>168.88</v>
      </c>
      <c r="C76" s="7">
        <f t="shared" si="151"/>
        <v>7.885408538</v>
      </c>
      <c r="D76" s="7">
        <f>IFERROR(__xludf.DUMMYFUNCTION("""COMPUTED_VALUE"""),34.93)</f>
        <v>34.93</v>
      </c>
      <c r="E76" s="7">
        <f>IFERROR(__xludf.DUMMYFUNCTION("""COMPUTED_VALUE"""),1.6633333333333333)</f>
        <v>1.663333333</v>
      </c>
      <c r="F76" s="7">
        <f t="shared" si="139"/>
        <v>10.65986056</v>
      </c>
      <c r="G76" s="7">
        <f t="shared" si="140"/>
        <v>-2.774452019</v>
      </c>
      <c r="H76" s="7">
        <f t="shared" si="4"/>
        <v>-4.139</v>
      </c>
    </row>
    <row r="77">
      <c r="A77" s="3">
        <v>76.0</v>
      </c>
      <c r="B77" s="7">
        <f t="shared" ref="B77:C77" si="152">B76+D77</f>
        <v>296.13</v>
      </c>
      <c r="C77" s="7">
        <f t="shared" si="152"/>
        <v>9.582075205</v>
      </c>
      <c r="D77" s="7">
        <f>IFERROR(__xludf.DUMMYFUNCTION("""COMPUTED_VALUE"""),127.25)</f>
        <v>127.25</v>
      </c>
      <c r="E77" s="7">
        <f>IFERROR(__xludf.DUMMYFUNCTION("""COMPUTED_VALUE"""),1.6966666666666668)</f>
        <v>1.696666667</v>
      </c>
      <c r="F77" s="7">
        <f t="shared" si="139"/>
        <v>10.65986056</v>
      </c>
      <c r="G77" s="7">
        <f t="shared" si="140"/>
        <v>-1.077785353</v>
      </c>
      <c r="H77" s="7">
        <f t="shared" si="4"/>
        <v>-4.139</v>
      </c>
    </row>
    <row r="78">
      <c r="A78" s="3">
        <v>77.0</v>
      </c>
      <c r="B78" s="7">
        <f t="shared" ref="B78:C78" si="153">B77+D78</f>
        <v>568.3</v>
      </c>
      <c r="C78" s="7">
        <f t="shared" si="153"/>
        <v>12.78407521</v>
      </c>
      <c r="D78" s="7">
        <f>IFERROR(__xludf.DUMMYFUNCTION("""COMPUTED_VALUE"""),272.17)</f>
        <v>272.17</v>
      </c>
      <c r="E78" s="7">
        <f>IFERROR(__xludf.DUMMYFUNCTION("""COMPUTED_VALUE"""),3.2020000000000004)</f>
        <v>3.202</v>
      </c>
      <c r="F78" s="7">
        <f t="shared" si="139"/>
        <v>12.78407521</v>
      </c>
      <c r="G78" s="7">
        <f t="shared" si="140"/>
        <v>0</v>
      </c>
      <c r="H78" s="7">
        <f t="shared" si="4"/>
        <v>-4.139</v>
      </c>
    </row>
    <row r="79">
      <c r="A79" s="3">
        <v>78.0</v>
      </c>
      <c r="B79" s="7">
        <f t="shared" ref="B79:C79" si="154">B78+D79</f>
        <v>613.39</v>
      </c>
      <c r="C79" s="7">
        <f t="shared" si="154"/>
        <v>13.45207521</v>
      </c>
      <c r="D79" s="7">
        <f>IFERROR(__xludf.DUMMYFUNCTION("""COMPUTED_VALUE"""),45.09)</f>
        <v>45.09</v>
      </c>
      <c r="E79" s="7">
        <f>IFERROR(__xludf.DUMMYFUNCTION("""COMPUTED_VALUE"""),0.668)</f>
        <v>0.668</v>
      </c>
      <c r="F79" s="7">
        <f t="shared" si="139"/>
        <v>13.45207521</v>
      </c>
      <c r="G79" s="7">
        <f t="shared" si="140"/>
        <v>0</v>
      </c>
      <c r="H79" s="7">
        <f t="shared" si="4"/>
        <v>-4.139</v>
      </c>
    </row>
    <row r="80">
      <c r="A80" s="3">
        <v>79.0</v>
      </c>
      <c r="B80" s="7">
        <f t="shared" ref="B80:C80" si="155">B79+D80</f>
        <v>496.13</v>
      </c>
      <c r="C80" s="7">
        <f t="shared" si="155"/>
        <v>12.45207521</v>
      </c>
      <c r="D80" s="7">
        <f>IFERROR(__xludf.DUMMYFUNCTION("""COMPUTED_VALUE"""),-117.26)</f>
        <v>-117.26</v>
      </c>
      <c r="E80" s="7">
        <f>IFERROR(__xludf.DUMMYFUNCTION("""COMPUTED_VALUE"""),-1.0000000000000322)</f>
        <v>-1</v>
      </c>
      <c r="F80" s="7">
        <f t="shared" si="139"/>
        <v>13.45207521</v>
      </c>
      <c r="G80" s="7">
        <f t="shared" si="140"/>
        <v>-1</v>
      </c>
      <c r="H80" s="7">
        <f t="shared" si="4"/>
        <v>-4.139</v>
      </c>
    </row>
    <row r="81">
      <c r="A81" s="3">
        <v>80.0</v>
      </c>
      <c r="B81" s="7">
        <f t="shared" ref="B81:C81" si="156">B80+D81</f>
        <v>390.92</v>
      </c>
      <c r="C81" s="7">
        <f t="shared" si="156"/>
        <v>11.45207521</v>
      </c>
      <c r="D81" s="7">
        <f>IFERROR(__xludf.DUMMYFUNCTION("""COMPUTED_VALUE"""),-105.21)</f>
        <v>-105.21</v>
      </c>
      <c r="E81" s="7">
        <f>IFERROR(__xludf.DUMMYFUNCTION("""COMPUTED_VALUE"""),-1.0000000000000289)</f>
        <v>-1</v>
      </c>
      <c r="F81" s="7">
        <f t="shared" si="139"/>
        <v>13.45207521</v>
      </c>
      <c r="G81" s="7">
        <f t="shared" si="140"/>
        <v>-2</v>
      </c>
      <c r="H81" s="7">
        <f t="shared" si="4"/>
        <v>-4.139</v>
      </c>
    </row>
    <row r="82">
      <c r="A82" s="3">
        <v>81.0</v>
      </c>
      <c r="B82" s="7">
        <f t="shared" ref="B82:C82" si="157">B81+D82</f>
        <v>306.71</v>
      </c>
      <c r="C82" s="7">
        <f t="shared" si="157"/>
        <v>10.45207521</v>
      </c>
      <c r="D82" s="7">
        <f>IFERROR(__xludf.DUMMYFUNCTION("""COMPUTED_VALUE"""),-84.21)</f>
        <v>-84.21</v>
      </c>
      <c r="E82" s="7">
        <f>IFERROR(__xludf.DUMMYFUNCTION("""COMPUTED_VALUE"""),-1.0000000000000362)</f>
        <v>-1</v>
      </c>
      <c r="F82" s="7">
        <f t="shared" si="139"/>
        <v>13.45207521</v>
      </c>
      <c r="G82" s="7">
        <f t="shared" si="140"/>
        <v>-3</v>
      </c>
      <c r="H82" s="7">
        <f t="shared" si="4"/>
        <v>-4.139</v>
      </c>
    </row>
    <row r="83">
      <c r="A83" s="3">
        <v>82.0</v>
      </c>
      <c r="B83" s="7">
        <f t="shared" ref="B83:C83" si="158">B82+D83</f>
        <v>422</v>
      </c>
      <c r="C83" s="7">
        <f t="shared" si="158"/>
        <v>12.64807521</v>
      </c>
      <c r="D83" s="7">
        <f>IFERROR(__xludf.DUMMYFUNCTION("""COMPUTED_VALUE"""),115.29)</f>
        <v>115.29</v>
      </c>
      <c r="E83" s="7">
        <f>IFERROR(__xludf.DUMMYFUNCTION("""COMPUTED_VALUE"""),2.196)</f>
        <v>2.196</v>
      </c>
      <c r="F83" s="7">
        <f t="shared" si="139"/>
        <v>13.45207521</v>
      </c>
      <c r="G83" s="7">
        <f t="shared" si="140"/>
        <v>-0.804</v>
      </c>
      <c r="H83" s="7">
        <f t="shared" si="4"/>
        <v>-4.139</v>
      </c>
    </row>
    <row r="84">
      <c r="A84" s="3">
        <v>83.0</v>
      </c>
      <c r="B84" s="7">
        <f t="shared" ref="B84:C84" si="159">B83+D84</f>
        <v>422</v>
      </c>
      <c r="C84" s="7">
        <f t="shared" si="159"/>
        <v>12.64807521</v>
      </c>
      <c r="D84" s="7">
        <f>IFERROR(__xludf.DUMMYFUNCTION("""COMPUTED_VALUE"""),0.0)</f>
        <v>0</v>
      </c>
      <c r="E84" s="7">
        <f>IFERROR(__xludf.DUMMYFUNCTION("""COMPUTED_VALUE"""),0.0)</f>
        <v>0</v>
      </c>
      <c r="F84" s="7">
        <f t="shared" si="139"/>
        <v>13.45207521</v>
      </c>
      <c r="G84" s="7">
        <f t="shared" si="140"/>
        <v>-0.804</v>
      </c>
      <c r="H84" s="7">
        <f t="shared" si="4"/>
        <v>-4.139</v>
      </c>
    </row>
    <row r="85">
      <c r="A85" s="3">
        <v>84.0</v>
      </c>
      <c r="B85" s="7">
        <f t="shared" ref="B85:C85" si="160">B84+D85</f>
        <v>489.83</v>
      </c>
      <c r="C85" s="7">
        <f t="shared" si="160"/>
        <v>13.64557521</v>
      </c>
      <c r="D85" s="7">
        <f>IFERROR(__xludf.DUMMYFUNCTION("""COMPUTED_VALUE"""),67.83)</f>
        <v>67.83</v>
      </c>
      <c r="E85" s="7">
        <f>IFERROR(__xludf.DUMMYFUNCTION("""COMPUTED_VALUE"""),0.9974999999999999)</f>
        <v>0.9975</v>
      </c>
      <c r="F85" s="7">
        <f t="shared" si="139"/>
        <v>13.64557521</v>
      </c>
      <c r="G85" s="7">
        <f t="shared" si="140"/>
        <v>0</v>
      </c>
      <c r="H85" s="7">
        <f t="shared" si="4"/>
        <v>-4.139</v>
      </c>
    </row>
    <row r="86">
      <c r="A86" s="3">
        <v>85.0</v>
      </c>
      <c r="B86" s="7">
        <f t="shared" ref="B86:C86" si="161">B85+D86</f>
        <v>418.71</v>
      </c>
      <c r="C86" s="7">
        <f t="shared" si="161"/>
        <v>12.7835146</v>
      </c>
      <c r="D86" s="7">
        <f>IFERROR(__xludf.DUMMYFUNCTION("""COMPUTED_VALUE"""),-71.12)</f>
        <v>-71.12</v>
      </c>
      <c r="E86" s="7">
        <f>IFERROR(__xludf.DUMMYFUNCTION("""COMPUTED_VALUE"""),-0.8620606060606061)</f>
        <v>-0.8620606061</v>
      </c>
      <c r="F86" s="7">
        <f t="shared" si="139"/>
        <v>13.64557521</v>
      </c>
      <c r="G86" s="7">
        <f t="shared" si="140"/>
        <v>-0.8620606061</v>
      </c>
      <c r="H86" s="7">
        <f t="shared" si="4"/>
        <v>-4.139</v>
      </c>
    </row>
    <row r="87">
      <c r="A87" s="3">
        <v>86.0</v>
      </c>
      <c r="B87" s="7">
        <f t="shared" ref="B87:C87" si="162">B86+D87</f>
        <v>350.54</v>
      </c>
      <c r="C87" s="7">
        <f t="shared" si="162"/>
        <v>11.7810146</v>
      </c>
      <c r="D87" s="7">
        <f>IFERROR(__xludf.DUMMYFUNCTION("""COMPUTED_VALUE"""),-68.17)</f>
        <v>-68.17</v>
      </c>
      <c r="E87" s="7">
        <f>IFERROR(__xludf.DUMMYFUNCTION("""COMPUTED_VALUE"""),-1.0025)</f>
        <v>-1.0025</v>
      </c>
      <c r="F87" s="7">
        <f t="shared" si="139"/>
        <v>13.64557521</v>
      </c>
      <c r="G87" s="7">
        <f t="shared" si="140"/>
        <v>-1.864560606</v>
      </c>
      <c r="H87" s="7">
        <f t="shared" si="4"/>
        <v>-4.139</v>
      </c>
    </row>
    <row r="88">
      <c r="A88" s="3">
        <v>87.0</v>
      </c>
      <c r="B88" s="7">
        <f t="shared" ref="B88:C88" si="163">B87+D88</f>
        <v>350.54</v>
      </c>
      <c r="C88" s="7">
        <f t="shared" si="163"/>
        <v>11.7810146</v>
      </c>
      <c r="D88" s="7">
        <f>IFERROR(__xludf.DUMMYFUNCTION("""COMPUTED_VALUE"""),0.0)</f>
        <v>0</v>
      </c>
      <c r="E88" s="7">
        <f>IFERROR(__xludf.DUMMYFUNCTION("""COMPUTED_VALUE"""),0.0)</f>
        <v>0</v>
      </c>
      <c r="F88" s="7">
        <f t="shared" si="139"/>
        <v>13.64557521</v>
      </c>
      <c r="G88" s="7">
        <f t="shared" si="140"/>
        <v>-1.864560606</v>
      </c>
      <c r="H88" s="7">
        <f t="shared" si="4"/>
        <v>-4.139</v>
      </c>
    </row>
    <row r="89">
      <c r="A89" s="3">
        <v>88.0</v>
      </c>
      <c r="B89" s="7">
        <f t="shared" ref="B89:C89" si="164">B88+D89</f>
        <v>481.34</v>
      </c>
      <c r="C89" s="7">
        <f t="shared" si="164"/>
        <v>13.64958603</v>
      </c>
      <c r="D89" s="7">
        <f>IFERROR(__xludf.DUMMYFUNCTION("""COMPUTED_VALUE"""),130.8)</f>
        <v>130.8</v>
      </c>
      <c r="E89" s="7">
        <f>IFERROR(__xludf.DUMMYFUNCTION("""COMPUTED_VALUE"""),1.8685714285714288)</f>
        <v>1.868571429</v>
      </c>
      <c r="F89" s="7">
        <f t="shared" si="139"/>
        <v>13.64958603</v>
      </c>
      <c r="G89" s="7">
        <f t="shared" si="140"/>
        <v>0</v>
      </c>
      <c r="H89" s="7">
        <f t="shared" si="4"/>
        <v>-4.139</v>
      </c>
    </row>
    <row r="90">
      <c r="A90" s="3">
        <v>89.0</v>
      </c>
      <c r="B90" s="7">
        <f t="shared" ref="B90:C90" si="165">B89+D90</f>
        <v>482</v>
      </c>
      <c r="C90" s="7">
        <f t="shared" si="165"/>
        <v>13.64958603</v>
      </c>
      <c r="D90" s="7">
        <f>IFERROR(__xludf.DUMMYFUNCTION("""COMPUTED_VALUE"""),0.66)</f>
        <v>0.66</v>
      </c>
      <c r="E90" s="7">
        <f>IFERROR(__xludf.DUMMYFUNCTION("""COMPUTED_VALUE"""),0.0)</f>
        <v>0</v>
      </c>
      <c r="F90" s="7">
        <f t="shared" si="139"/>
        <v>13.64958603</v>
      </c>
      <c r="G90" s="7">
        <f t="shared" si="140"/>
        <v>0</v>
      </c>
      <c r="H90" s="7">
        <f t="shared" si="4"/>
        <v>-4.139</v>
      </c>
    </row>
    <row r="91">
      <c r="A91" s="3">
        <v>90.0</v>
      </c>
      <c r="B91" s="7">
        <f t="shared" ref="B91:C91" si="166">B90+D91</f>
        <v>416.25</v>
      </c>
      <c r="C91" s="7">
        <f t="shared" si="166"/>
        <v>12.64958603</v>
      </c>
      <c r="D91" s="7">
        <f>IFERROR(__xludf.DUMMYFUNCTION("""COMPUTED_VALUE"""),-65.75)</f>
        <v>-65.75</v>
      </c>
      <c r="E91" s="7">
        <f>IFERROR(__xludf.DUMMYFUNCTION("""COMPUTED_VALUE"""),-1.0000000000000278)</f>
        <v>-1</v>
      </c>
      <c r="F91" s="7">
        <f t="shared" si="139"/>
        <v>13.64958603</v>
      </c>
      <c r="G91" s="7">
        <f t="shared" si="140"/>
        <v>-1</v>
      </c>
      <c r="H91" s="7">
        <f t="shared" si="4"/>
        <v>-4.139</v>
      </c>
    </row>
    <row r="92">
      <c r="A92" s="3">
        <v>91.0</v>
      </c>
      <c r="B92" s="7">
        <f t="shared" ref="B92:C92" si="167">B91+D92</f>
        <v>384.73</v>
      </c>
      <c r="C92" s="7">
        <f t="shared" si="167"/>
        <v>11.64942737</v>
      </c>
      <c r="D92" s="7">
        <f>IFERROR(__xludf.DUMMYFUNCTION("""COMPUTED_VALUE"""),-31.52)</f>
        <v>-31.52</v>
      </c>
      <c r="E92" s="7">
        <f>IFERROR(__xludf.DUMMYFUNCTION("""COMPUTED_VALUE"""),-1.0001586546089927)</f>
        <v>-1.000158655</v>
      </c>
      <c r="F92" s="7">
        <f t="shared" si="139"/>
        <v>13.64958603</v>
      </c>
      <c r="G92" s="7">
        <f t="shared" si="140"/>
        <v>-2.000158655</v>
      </c>
      <c r="H92" s="7">
        <f t="shared" si="4"/>
        <v>-4.139</v>
      </c>
    </row>
    <row r="93">
      <c r="A93" s="3">
        <v>92.0</v>
      </c>
      <c r="B93" s="7">
        <f t="shared" ref="B93:C93" si="168">B92+D93</f>
        <v>311.96</v>
      </c>
      <c r="C93" s="7">
        <f t="shared" si="168"/>
        <v>10.64935866</v>
      </c>
      <c r="D93" s="7">
        <f>IFERROR(__xludf.DUMMYFUNCTION("""COMPUTED_VALUE"""),-72.77)</f>
        <v>-72.77</v>
      </c>
      <c r="E93" s="7">
        <f>IFERROR(__xludf.DUMMYFUNCTION("""COMPUTED_VALUE"""),-1.0000687143544615)</f>
        <v>-1.000068714</v>
      </c>
      <c r="F93" s="7">
        <f t="shared" si="139"/>
        <v>13.64958603</v>
      </c>
      <c r="G93" s="7">
        <f t="shared" si="140"/>
        <v>-3.000227369</v>
      </c>
      <c r="H93" s="7">
        <f t="shared" si="4"/>
        <v>-4.139</v>
      </c>
    </row>
    <row r="94">
      <c r="A94" s="3">
        <v>93.0</v>
      </c>
      <c r="B94" s="7">
        <f t="shared" ref="B94:C94" si="169">B93+D94</f>
        <v>229.53</v>
      </c>
      <c r="C94" s="7">
        <f t="shared" si="169"/>
        <v>9.649297997</v>
      </c>
      <c r="D94" s="7">
        <f>IFERROR(__xludf.DUMMYFUNCTION("""COMPUTED_VALUE"""),-82.43)</f>
        <v>-82.43</v>
      </c>
      <c r="E94" s="7">
        <f>IFERROR(__xludf.DUMMYFUNCTION("""COMPUTED_VALUE"""),-1.000060661207189)</f>
        <v>-1.000060661</v>
      </c>
      <c r="F94" s="7">
        <f t="shared" si="139"/>
        <v>13.64958603</v>
      </c>
      <c r="G94" s="7">
        <f t="shared" si="140"/>
        <v>-4.00028803</v>
      </c>
      <c r="H94" s="7">
        <f t="shared" si="4"/>
        <v>-4.139</v>
      </c>
    </row>
    <row r="95">
      <c r="A95" s="3">
        <v>94.0</v>
      </c>
      <c r="B95" s="7">
        <f t="shared" ref="B95:C95" si="170">B94+D95</f>
        <v>299.64</v>
      </c>
      <c r="C95" s="7">
        <f t="shared" si="170"/>
        <v>10.571798</v>
      </c>
      <c r="D95" s="7">
        <f>IFERROR(__xludf.DUMMYFUNCTION("""COMPUTED_VALUE"""),70.11)</f>
        <v>70.11</v>
      </c>
      <c r="E95" s="7">
        <f>IFERROR(__xludf.DUMMYFUNCTION("""COMPUTED_VALUE"""),0.9225)</f>
        <v>0.9225</v>
      </c>
      <c r="F95" s="7">
        <f t="shared" si="139"/>
        <v>13.64958603</v>
      </c>
      <c r="G95" s="7">
        <f t="shared" si="140"/>
        <v>-3.07778803</v>
      </c>
      <c r="H95" s="7">
        <f t="shared" si="4"/>
        <v>-4.139</v>
      </c>
    </row>
    <row r="96">
      <c r="A96" s="3">
        <v>95.0</v>
      </c>
      <c r="B96" s="7">
        <f t="shared" ref="B96:C96" si="171">B95+D96</f>
        <v>183.14</v>
      </c>
      <c r="C96" s="7">
        <f t="shared" si="171"/>
        <v>9.571797997</v>
      </c>
      <c r="D96" s="7">
        <f>IFERROR(__xludf.DUMMYFUNCTION("""COMPUTED_VALUE"""),-116.5)</f>
        <v>-116.5</v>
      </c>
      <c r="E96" s="7">
        <f>IFERROR(__xludf.DUMMYFUNCTION("""COMPUTED_VALUE"""),-1.0000000000000313)</f>
        <v>-1</v>
      </c>
      <c r="F96" s="7">
        <f t="shared" si="139"/>
        <v>13.64958603</v>
      </c>
      <c r="G96" s="7">
        <f t="shared" si="140"/>
        <v>-4.07778803</v>
      </c>
      <c r="H96" s="7">
        <f t="shared" si="4"/>
        <v>-4.139</v>
      </c>
    </row>
    <row r="97">
      <c r="A97" s="3">
        <v>96.0</v>
      </c>
      <c r="B97" s="7">
        <f t="shared" ref="B97:C97" si="172">B96+D97</f>
        <v>302.76</v>
      </c>
      <c r="C97" s="7">
        <f t="shared" si="172"/>
        <v>11.26853559</v>
      </c>
      <c r="D97" s="7">
        <f>IFERROR(__xludf.DUMMYFUNCTION("""COMPUTED_VALUE"""),119.62)</f>
        <v>119.62</v>
      </c>
      <c r="E97" s="7">
        <f>IFERROR(__xludf.DUMMYFUNCTION("""COMPUTED_VALUE"""),1.6967375886524823)</f>
        <v>1.696737589</v>
      </c>
      <c r="F97" s="7">
        <f t="shared" si="139"/>
        <v>13.64958603</v>
      </c>
      <c r="G97" s="7">
        <f t="shared" si="140"/>
        <v>-2.381050442</v>
      </c>
      <c r="H97" s="7">
        <f t="shared" si="4"/>
        <v>-4.139</v>
      </c>
    </row>
    <row r="98">
      <c r="A98" s="3">
        <v>97.0</v>
      </c>
      <c r="B98" s="7">
        <f t="shared" ref="B98:C98" si="173">B97+D98</f>
        <v>396.12</v>
      </c>
      <c r="C98" s="7">
        <f t="shared" si="173"/>
        <v>12.56520225</v>
      </c>
      <c r="D98" s="7">
        <f>IFERROR(__xludf.DUMMYFUNCTION("""COMPUTED_VALUE"""),93.36)</f>
        <v>93.36</v>
      </c>
      <c r="E98" s="7">
        <f>IFERROR(__xludf.DUMMYFUNCTION("""COMPUTED_VALUE"""),1.2966666666666666)</f>
        <v>1.296666667</v>
      </c>
      <c r="F98" s="7">
        <f t="shared" si="139"/>
        <v>13.64958603</v>
      </c>
      <c r="G98" s="7">
        <f t="shared" si="140"/>
        <v>-1.084383775</v>
      </c>
      <c r="H98" s="7">
        <f t="shared" si="4"/>
        <v>-4.139</v>
      </c>
    </row>
    <row r="99">
      <c r="A99" s="3">
        <v>98.0</v>
      </c>
      <c r="B99" s="7">
        <f t="shared" ref="B99:C99" si="174">B98+D99</f>
        <v>514.74</v>
      </c>
      <c r="C99" s="7">
        <f t="shared" si="174"/>
        <v>14.4480594</v>
      </c>
      <c r="D99" s="7">
        <f>IFERROR(__xludf.DUMMYFUNCTION("""COMPUTED_VALUE"""),118.62)</f>
        <v>118.62</v>
      </c>
      <c r="E99" s="7">
        <f>IFERROR(__xludf.DUMMYFUNCTION("""COMPUTED_VALUE"""),1.882857142857143)</f>
        <v>1.882857143</v>
      </c>
      <c r="F99" s="7">
        <f t="shared" si="139"/>
        <v>14.4480594</v>
      </c>
      <c r="G99" s="7">
        <f t="shared" si="140"/>
        <v>0</v>
      </c>
      <c r="H99" s="7">
        <f t="shared" si="4"/>
        <v>-4.139</v>
      </c>
    </row>
    <row r="100">
      <c r="A100" s="3">
        <v>99.0</v>
      </c>
      <c r="B100" s="7">
        <f t="shared" ref="B100:C100" si="175">B99+D100</f>
        <v>935.99</v>
      </c>
      <c r="C100" s="7">
        <f t="shared" si="175"/>
        <v>16.5543094</v>
      </c>
      <c r="D100" s="7">
        <f>IFERROR(__xludf.DUMMYFUNCTION("""COMPUTED_VALUE"""),421.25)</f>
        <v>421.25</v>
      </c>
      <c r="E100" s="7">
        <f>IFERROR(__xludf.DUMMYFUNCTION("""COMPUTED_VALUE"""),2.10625)</f>
        <v>2.10625</v>
      </c>
      <c r="F100" s="7">
        <f t="shared" si="139"/>
        <v>16.5543094</v>
      </c>
      <c r="G100" s="7">
        <f t="shared" si="140"/>
        <v>0</v>
      </c>
      <c r="H100" s="7">
        <f t="shared" si="4"/>
        <v>-4.139</v>
      </c>
    </row>
    <row r="101">
      <c r="A101" s="3">
        <v>100.0</v>
      </c>
      <c r="B101" s="7">
        <f t="shared" ref="B101:C101" si="176">B100+D101</f>
        <v>1288.97</v>
      </c>
      <c r="C101" s="7">
        <f t="shared" si="176"/>
        <v>18.23516654</v>
      </c>
      <c r="D101" s="7">
        <f>IFERROR(__xludf.DUMMYFUNCTION("""COMPUTED_VALUE"""),352.98)</f>
        <v>352.98</v>
      </c>
      <c r="E101" s="7">
        <f>IFERROR(__xludf.DUMMYFUNCTION("""COMPUTED_VALUE"""),1.680857142857143)</f>
        <v>1.680857143</v>
      </c>
      <c r="F101" s="7">
        <f t="shared" si="139"/>
        <v>18.23516654</v>
      </c>
      <c r="G101" s="7">
        <f t="shared" si="140"/>
        <v>0</v>
      </c>
      <c r="H101" s="7">
        <f t="shared" si="4"/>
        <v>-4.139</v>
      </c>
    </row>
    <row r="102">
      <c r="A102" s="3">
        <v>101.0</v>
      </c>
      <c r="B102" s="7">
        <f t="shared" ref="B102:C102" si="177">B101+D102</f>
        <v>1500.28</v>
      </c>
      <c r="C102" s="7">
        <f t="shared" si="177"/>
        <v>19.23191182</v>
      </c>
      <c r="D102" s="7">
        <f>IFERROR(__xludf.DUMMYFUNCTION("""COMPUTED_VALUE"""),211.31)</f>
        <v>211.31</v>
      </c>
      <c r="E102" s="7">
        <f>IFERROR(__xludf.DUMMYFUNCTION("""COMPUTED_VALUE"""),0.9967452830188679)</f>
        <v>0.996745283</v>
      </c>
      <c r="F102" s="7">
        <f t="shared" si="139"/>
        <v>19.23191182</v>
      </c>
      <c r="G102" s="7">
        <f t="shared" si="140"/>
        <v>0</v>
      </c>
      <c r="H102" s="7">
        <f t="shared" si="4"/>
        <v>-4.139</v>
      </c>
    </row>
    <row r="103">
      <c r="A103" s="3">
        <v>102.0</v>
      </c>
      <c r="B103" s="7">
        <f t="shared" ref="B103:C103" si="178">B102+D103</f>
        <v>1278.92</v>
      </c>
      <c r="C103" s="7">
        <f t="shared" si="178"/>
        <v>18.15210694</v>
      </c>
      <c r="D103" s="7">
        <f>IFERROR(__xludf.DUMMYFUNCTION("""COMPUTED_VALUE"""),-221.36)</f>
        <v>-221.36</v>
      </c>
      <c r="E103" s="7">
        <f>IFERROR(__xludf.DUMMYFUNCTION("""COMPUTED_VALUE"""),-1.0798048780487808)</f>
        <v>-1.079804878</v>
      </c>
      <c r="F103" s="7">
        <f t="shared" si="139"/>
        <v>19.23191182</v>
      </c>
      <c r="G103" s="7">
        <f t="shared" si="140"/>
        <v>-1.079804878</v>
      </c>
      <c r="H103" s="7">
        <f t="shared" si="4"/>
        <v>-4.139</v>
      </c>
    </row>
    <row r="104">
      <c r="A104" s="3">
        <v>103.0</v>
      </c>
      <c r="B104" s="7">
        <f t="shared" ref="B104:C104" si="179">B103+D104</f>
        <v>1016.07</v>
      </c>
      <c r="C104" s="7">
        <f t="shared" si="179"/>
        <v>16.90044028</v>
      </c>
      <c r="D104" s="7">
        <f>IFERROR(__xludf.DUMMYFUNCTION("""COMPUTED_VALUE"""),-262.85)</f>
        <v>-262.85</v>
      </c>
      <c r="E104" s="7">
        <f>IFERROR(__xludf.DUMMYFUNCTION("""COMPUTED_VALUE"""),-1.2516666666666667)</f>
        <v>-1.251666667</v>
      </c>
      <c r="F104" s="7">
        <f t="shared" si="139"/>
        <v>19.23191182</v>
      </c>
      <c r="G104" s="7">
        <f t="shared" si="140"/>
        <v>-2.331471545</v>
      </c>
      <c r="H104" s="7">
        <f t="shared" si="4"/>
        <v>-4.139</v>
      </c>
    </row>
    <row r="105">
      <c r="A105" s="3">
        <v>104.0</v>
      </c>
      <c r="B105" s="7">
        <f t="shared" ref="B105:C105" si="180">B104+D105</f>
        <v>1281.67</v>
      </c>
      <c r="C105" s="7">
        <f t="shared" si="180"/>
        <v>18.22844028</v>
      </c>
      <c r="D105" s="7">
        <f>IFERROR(__xludf.DUMMYFUNCTION("""COMPUTED_VALUE"""),265.6)</f>
        <v>265.6</v>
      </c>
      <c r="E105" s="7">
        <f>IFERROR(__xludf.DUMMYFUNCTION("""COMPUTED_VALUE"""),1.328)</f>
        <v>1.328</v>
      </c>
      <c r="F105" s="7">
        <f t="shared" si="139"/>
        <v>19.23191182</v>
      </c>
      <c r="G105" s="7">
        <f t="shared" si="140"/>
        <v>-1.003471545</v>
      </c>
      <c r="H105" s="7">
        <f t="shared" si="4"/>
        <v>-4.139</v>
      </c>
    </row>
    <row r="106">
      <c r="A106" s="3">
        <v>105.0</v>
      </c>
      <c r="B106" s="7">
        <f t="shared" ref="B106:C106" si="181">B105+D106</f>
        <v>1046.51</v>
      </c>
      <c r="C106" s="7">
        <f t="shared" si="181"/>
        <v>17.07569518</v>
      </c>
      <c r="D106" s="7">
        <f>IFERROR(__xludf.DUMMYFUNCTION("""COMPUTED_VALUE"""),-235.16)</f>
        <v>-235.16</v>
      </c>
      <c r="E106" s="7">
        <f>IFERROR(__xludf.DUMMYFUNCTION("""COMPUTED_VALUE"""),-1.1527450980392158)</f>
        <v>-1.152745098</v>
      </c>
      <c r="F106" s="7">
        <f t="shared" si="139"/>
        <v>19.23191182</v>
      </c>
      <c r="G106" s="7">
        <f t="shared" si="140"/>
        <v>-2.156216643</v>
      </c>
      <c r="H106" s="7">
        <f t="shared" si="4"/>
        <v>-4.139</v>
      </c>
    </row>
    <row r="107">
      <c r="A107" s="3">
        <v>106.0</v>
      </c>
      <c r="B107" s="7">
        <f t="shared" ref="B107:C107" si="182">B106+D107</f>
        <v>1227.59</v>
      </c>
      <c r="C107" s="7">
        <f t="shared" si="182"/>
        <v>18.08169518</v>
      </c>
      <c r="D107" s="7">
        <f>IFERROR(__xludf.DUMMYFUNCTION("""COMPUTED_VALUE"""),181.08)</f>
        <v>181.08</v>
      </c>
      <c r="E107" s="7">
        <f>IFERROR(__xludf.DUMMYFUNCTION("""COMPUTED_VALUE"""),1.006)</f>
        <v>1.006</v>
      </c>
      <c r="F107" s="7">
        <f t="shared" si="139"/>
        <v>19.23191182</v>
      </c>
      <c r="G107" s="7">
        <f t="shared" si="140"/>
        <v>-1.150216643</v>
      </c>
      <c r="H107" s="7">
        <f t="shared" si="4"/>
        <v>-4.139</v>
      </c>
    </row>
    <row r="108">
      <c r="A108" s="3">
        <v>107.0</v>
      </c>
      <c r="B108" s="7">
        <f t="shared" ref="B108:C108" si="183">B107+D108</f>
        <v>1016.59</v>
      </c>
      <c r="C108" s="7">
        <f t="shared" si="183"/>
        <v>17.08547233</v>
      </c>
      <c r="D108" s="7">
        <f>IFERROR(__xludf.DUMMYFUNCTION("""COMPUTED_VALUE"""),-211.0)</f>
        <v>-211</v>
      </c>
      <c r="E108" s="7">
        <f>IFERROR(__xludf.DUMMYFUNCTION("""COMPUTED_VALUE"""),-0.9962228517469516)</f>
        <v>-0.9962228517</v>
      </c>
      <c r="F108" s="7">
        <f t="shared" si="139"/>
        <v>19.23191182</v>
      </c>
      <c r="G108" s="7">
        <f t="shared" si="140"/>
        <v>-2.146439495</v>
      </c>
      <c r="H108" s="7">
        <f t="shared" si="4"/>
        <v>-4.139</v>
      </c>
    </row>
    <row r="109">
      <c r="A109" s="3">
        <v>108.0</v>
      </c>
      <c r="B109" s="7">
        <f t="shared" ref="B109:C109" si="184">B108+D109</f>
        <v>782.19</v>
      </c>
      <c r="C109" s="7">
        <f t="shared" si="184"/>
        <v>15.91347233</v>
      </c>
      <c r="D109" s="7">
        <f>IFERROR(__xludf.DUMMYFUNCTION("""COMPUTED_VALUE"""),-234.4)</f>
        <v>-234.4</v>
      </c>
      <c r="E109" s="7">
        <f>IFERROR(__xludf.DUMMYFUNCTION("""COMPUTED_VALUE"""),-1.172)</f>
        <v>-1.172</v>
      </c>
      <c r="F109" s="7">
        <f t="shared" si="139"/>
        <v>19.23191182</v>
      </c>
      <c r="G109" s="7">
        <f t="shared" si="140"/>
        <v>-3.318439495</v>
      </c>
      <c r="H109" s="7">
        <f t="shared" si="4"/>
        <v>-4.139</v>
      </c>
    </row>
    <row r="110">
      <c r="A110" s="3">
        <v>109.0</v>
      </c>
      <c r="B110" s="7">
        <f t="shared" ref="B110:C110" si="185">B109+D110</f>
        <v>1191.19</v>
      </c>
      <c r="C110" s="7">
        <f t="shared" si="185"/>
        <v>17.94224217</v>
      </c>
      <c r="D110" s="7">
        <f>IFERROR(__xludf.DUMMYFUNCTION("""COMPUTED_VALUE"""),409.0)</f>
        <v>409</v>
      </c>
      <c r="E110" s="7">
        <f>IFERROR(__xludf.DUMMYFUNCTION("""COMPUTED_VALUE"""),2.0287698412698414)</f>
        <v>2.028769841</v>
      </c>
      <c r="F110" s="7">
        <f t="shared" si="139"/>
        <v>19.23191182</v>
      </c>
      <c r="G110" s="7">
        <f t="shared" si="140"/>
        <v>-1.289669653</v>
      </c>
      <c r="H110" s="7">
        <f t="shared" si="4"/>
        <v>-4.139</v>
      </c>
    </row>
    <row r="111">
      <c r="A111" s="3">
        <v>110.0</v>
      </c>
      <c r="B111" s="7">
        <f t="shared" ref="B111:C111" si="186">B110+D111</f>
        <v>1388.74</v>
      </c>
      <c r="C111" s="7">
        <f t="shared" si="186"/>
        <v>18.82024217</v>
      </c>
      <c r="D111" s="7">
        <f>IFERROR(__xludf.DUMMYFUNCTION("""COMPUTED_VALUE"""),197.55)</f>
        <v>197.55</v>
      </c>
      <c r="E111" s="7">
        <f>IFERROR(__xludf.DUMMYFUNCTION("""COMPUTED_VALUE"""),0.878)</f>
        <v>0.878</v>
      </c>
      <c r="F111" s="7">
        <f t="shared" si="139"/>
        <v>19.23191182</v>
      </c>
      <c r="G111" s="7">
        <f t="shared" si="140"/>
        <v>-0.4116696532</v>
      </c>
      <c r="H111" s="7">
        <f t="shared" si="4"/>
        <v>-4.139</v>
      </c>
    </row>
    <row r="112">
      <c r="A112" s="3">
        <v>111.0</v>
      </c>
      <c r="B112" s="7">
        <f t="shared" ref="B112:C112" si="187">B111+D112</f>
        <v>1212.02</v>
      </c>
      <c r="C112" s="7">
        <f t="shared" si="187"/>
        <v>17.90221619</v>
      </c>
      <c r="D112" s="7">
        <f>IFERROR(__xludf.DUMMYFUNCTION("""COMPUTED_VALUE"""),-176.72)</f>
        <v>-176.72</v>
      </c>
      <c r="E112" s="7">
        <f>IFERROR(__xludf.DUMMYFUNCTION("""COMPUTED_VALUE"""),-0.918025974025974)</f>
        <v>-0.918025974</v>
      </c>
      <c r="F112" s="7">
        <f t="shared" si="139"/>
        <v>19.23191182</v>
      </c>
      <c r="G112" s="7">
        <f t="shared" si="140"/>
        <v>-1.329695627</v>
      </c>
      <c r="H112" s="7">
        <f t="shared" si="4"/>
        <v>-4.139</v>
      </c>
    </row>
    <row r="113">
      <c r="A113" s="3">
        <v>112.0</v>
      </c>
      <c r="B113" s="7">
        <f t="shared" ref="B113:C113" si="188">B112+D113</f>
        <v>1546.52</v>
      </c>
      <c r="C113" s="7">
        <f t="shared" si="188"/>
        <v>19.57471619</v>
      </c>
      <c r="D113" s="7">
        <f>IFERROR(__xludf.DUMMYFUNCTION("""COMPUTED_VALUE"""),334.5)</f>
        <v>334.5</v>
      </c>
      <c r="E113" s="7">
        <f>IFERROR(__xludf.DUMMYFUNCTION("""COMPUTED_VALUE"""),1.6725)</f>
        <v>1.6725</v>
      </c>
      <c r="F113" s="7">
        <f t="shared" si="139"/>
        <v>19.57471619</v>
      </c>
      <c r="G113" s="7">
        <f t="shared" si="140"/>
        <v>0</v>
      </c>
      <c r="H113" s="7">
        <f t="shared" si="4"/>
        <v>-4.139</v>
      </c>
    </row>
    <row r="114">
      <c r="A114" s="3">
        <v>113.0</v>
      </c>
      <c r="B114" s="7">
        <f t="shared" ref="B114:C114" si="189">B113+D114</f>
        <v>1333.93</v>
      </c>
      <c r="C114" s="7">
        <f t="shared" si="189"/>
        <v>18.50102933</v>
      </c>
      <c r="D114" s="7">
        <f>IFERROR(__xludf.DUMMYFUNCTION("""COMPUTED_VALUE"""),-212.59)</f>
        <v>-212.59</v>
      </c>
      <c r="E114" s="7">
        <f>IFERROR(__xludf.DUMMYFUNCTION("""COMPUTED_VALUE"""),-1.0736868686868688)</f>
        <v>-1.073686869</v>
      </c>
      <c r="F114" s="7">
        <f t="shared" si="139"/>
        <v>19.57471619</v>
      </c>
      <c r="G114" s="7">
        <f t="shared" si="140"/>
        <v>-1.073686869</v>
      </c>
      <c r="H114" s="7">
        <f t="shared" si="4"/>
        <v>-4.139</v>
      </c>
    </row>
    <row r="115">
      <c r="A115" s="3">
        <v>114.0</v>
      </c>
      <c r="B115" s="7">
        <f t="shared" ref="B115:C115" si="190">B114+D115</f>
        <v>1648.48</v>
      </c>
      <c r="C115" s="7">
        <f t="shared" si="190"/>
        <v>20.24852933</v>
      </c>
      <c r="D115" s="7">
        <f>IFERROR(__xludf.DUMMYFUNCTION("""COMPUTED_VALUE"""),314.55)</f>
        <v>314.55</v>
      </c>
      <c r="E115" s="7">
        <f>IFERROR(__xludf.DUMMYFUNCTION("""COMPUTED_VALUE"""),1.7475)</f>
        <v>1.7475</v>
      </c>
      <c r="F115" s="7">
        <f t="shared" si="139"/>
        <v>20.24852933</v>
      </c>
      <c r="G115" s="7">
        <f t="shared" si="140"/>
        <v>0</v>
      </c>
      <c r="H115" s="7">
        <f t="shared" si="4"/>
        <v>-4.139</v>
      </c>
    </row>
    <row r="116">
      <c r="A116" s="3">
        <v>115.0</v>
      </c>
      <c r="B116" s="7">
        <f t="shared" ref="B116:C116" si="191">B115+D116</f>
        <v>1675.03</v>
      </c>
      <c r="C116" s="7">
        <f t="shared" si="191"/>
        <v>20.37964044</v>
      </c>
      <c r="D116" s="7">
        <f>IFERROR(__xludf.DUMMYFUNCTION("""COMPUTED_VALUE"""),26.55)</f>
        <v>26.55</v>
      </c>
      <c r="E116" s="7">
        <f>IFERROR(__xludf.DUMMYFUNCTION("""COMPUTED_VALUE"""),0.13111111111111112)</f>
        <v>0.1311111111</v>
      </c>
      <c r="F116" s="7">
        <f t="shared" si="139"/>
        <v>20.37964044</v>
      </c>
      <c r="G116" s="7">
        <f t="shared" si="140"/>
        <v>0</v>
      </c>
      <c r="H116" s="7">
        <f t="shared" si="4"/>
        <v>-4.139</v>
      </c>
    </row>
    <row r="117">
      <c r="A117" s="3">
        <v>116.0</v>
      </c>
      <c r="B117" s="7">
        <f t="shared" ref="B117:C117" si="192">B116+D117</f>
        <v>1785.03</v>
      </c>
      <c r="C117" s="7">
        <f t="shared" si="192"/>
        <v>20.99075155</v>
      </c>
      <c r="D117" s="7">
        <f>IFERROR(__xludf.DUMMYFUNCTION("""COMPUTED_VALUE"""),110.0)</f>
        <v>110</v>
      </c>
      <c r="E117" s="7">
        <f>IFERROR(__xludf.DUMMYFUNCTION("""COMPUTED_VALUE"""),0.6111111111111112)</f>
        <v>0.6111111111</v>
      </c>
      <c r="F117" s="7">
        <f t="shared" si="139"/>
        <v>20.99075155</v>
      </c>
      <c r="G117" s="7">
        <f t="shared" si="140"/>
        <v>0</v>
      </c>
      <c r="H117" s="7">
        <f t="shared" si="4"/>
        <v>-4.139</v>
      </c>
    </row>
    <row r="118">
      <c r="A118" s="3">
        <v>117.0</v>
      </c>
      <c r="B118" s="7">
        <f t="shared" ref="B118:C118" si="193">B117+D118</f>
        <v>1583.03</v>
      </c>
      <c r="C118" s="7">
        <f t="shared" si="193"/>
        <v>19.98075155</v>
      </c>
      <c r="D118" s="7">
        <f>IFERROR(__xludf.DUMMYFUNCTION("""COMPUTED_VALUE"""),-202.0)</f>
        <v>-202</v>
      </c>
      <c r="E118" s="7">
        <f>IFERROR(__xludf.DUMMYFUNCTION("""COMPUTED_VALUE"""),-1.01)</f>
        <v>-1.01</v>
      </c>
      <c r="F118" s="7">
        <f t="shared" si="139"/>
        <v>20.99075155</v>
      </c>
      <c r="G118" s="7">
        <f t="shared" si="140"/>
        <v>-1.01</v>
      </c>
      <c r="H118" s="7">
        <f t="shared" si="4"/>
        <v>-4.139</v>
      </c>
    </row>
    <row r="119">
      <c r="A119" s="3">
        <v>118.0</v>
      </c>
      <c r="B119" s="7">
        <f t="shared" ref="B119:C119" si="194">B118+D119</f>
        <v>1764.03</v>
      </c>
      <c r="C119" s="7">
        <f t="shared" si="194"/>
        <v>20.89489296</v>
      </c>
      <c r="D119" s="7">
        <f>IFERROR(__xludf.DUMMYFUNCTION("""COMPUTED_VALUE"""),181.0)</f>
        <v>181</v>
      </c>
      <c r="E119" s="7">
        <f>IFERROR(__xludf.DUMMYFUNCTION("""COMPUTED_VALUE"""),0.9141414141414141)</f>
        <v>0.9141414141</v>
      </c>
      <c r="F119" s="7">
        <f t="shared" si="139"/>
        <v>20.99075155</v>
      </c>
      <c r="G119" s="7">
        <f t="shared" si="140"/>
        <v>-0.09585858586</v>
      </c>
      <c r="H119" s="7">
        <f t="shared" si="4"/>
        <v>-4.139</v>
      </c>
    </row>
    <row r="120">
      <c r="A120" s="3">
        <v>119.0</v>
      </c>
      <c r="B120" s="7">
        <f t="shared" ref="B120:C120" si="195">B119+D120</f>
        <v>1886.03</v>
      </c>
      <c r="C120" s="7">
        <f t="shared" si="195"/>
        <v>21.57267074</v>
      </c>
      <c r="D120" s="7">
        <f>IFERROR(__xludf.DUMMYFUNCTION("""COMPUTED_VALUE"""),122.0)</f>
        <v>122</v>
      </c>
      <c r="E120" s="7">
        <f>IFERROR(__xludf.DUMMYFUNCTION("""COMPUTED_VALUE"""),0.6777777777777778)</f>
        <v>0.6777777778</v>
      </c>
      <c r="F120" s="7">
        <f t="shared" si="139"/>
        <v>21.57267074</v>
      </c>
      <c r="G120" s="7">
        <f t="shared" si="140"/>
        <v>0</v>
      </c>
      <c r="H120" s="7">
        <f t="shared" si="4"/>
        <v>-4.139</v>
      </c>
    </row>
    <row r="121">
      <c r="A121" s="3">
        <v>120.0</v>
      </c>
      <c r="B121" s="7">
        <f t="shared" ref="B121:C121" si="196">B120+D121</f>
        <v>1680.03</v>
      </c>
      <c r="C121" s="7">
        <f t="shared" si="196"/>
        <v>20.59171836</v>
      </c>
      <c r="D121" s="7">
        <f>IFERROR(__xludf.DUMMYFUNCTION("""COMPUTED_VALUE"""),-206.0)</f>
        <v>-206</v>
      </c>
      <c r="E121" s="7">
        <f>IFERROR(__xludf.DUMMYFUNCTION("""COMPUTED_VALUE"""),-0.9809523809523809)</f>
        <v>-0.980952381</v>
      </c>
      <c r="F121" s="7">
        <f t="shared" si="139"/>
        <v>21.57267074</v>
      </c>
      <c r="G121" s="7">
        <f t="shared" si="140"/>
        <v>-0.980952381</v>
      </c>
      <c r="H121" s="7">
        <f t="shared" si="4"/>
        <v>-4.139</v>
      </c>
    </row>
    <row r="122">
      <c r="A122" s="3">
        <v>121.0</v>
      </c>
      <c r="B122" s="7">
        <f t="shared" ref="B122:C122" si="197">B121+D122</f>
        <v>1467.03</v>
      </c>
      <c r="C122" s="7">
        <f t="shared" si="197"/>
        <v>19.54245727</v>
      </c>
      <c r="D122" s="7">
        <f>IFERROR(__xludf.DUMMYFUNCTION("""COMPUTED_VALUE"""),-213.0)</f>
        <v>-213</v>
      </c>
      <c r="E122" s="7">
        <f>IFERROR(__xludf.DUMMYFUNCTION("""COMPUTED_VALUE"""),-1.0492610837438423)</f>
        <v>-1.049261084</v>
      </c>
      <c r="F122" s="7">
        <f t="shared" si="139"/>
        <v>21.57267074</v>
      </c>
      <c r="G122" s="7">
        <f t="shared" si="140"/>
        <v>-2.030213465</v>
      </c>
      <c r="H122" s="7">
        <f t="shared" si="4"/>
        <v>-4.139</v>
      </c>
    </row>
    <row r="123">
      <c r="A123" s="3">
        <v>122.0</v>
      </c>
      <c r="B123" s="7">
        <f t="shared" ref="B123:C123" si="198">B122+D123</f>
        <v>1467.03</v>
      </c>
      <c r="C123" s="7">
        <f t="shared" si="198"/>
        <v>19.54245727</v>
      </c>
      <c r="D123" s="7">
        <f>IFERROR(__xludf.DUMMYFUNCTION("""COMPUTED_VALUE"""),0.0)</f>
        <v>0</v>
      </c>
      <c r="E123" s="7">
        <f>IFERROR(__xludf.DUMMYFUNCTION("""COMPUTED_VALUE"""),0.0)</f>
        <v>0</v>
      </c>
      <c r="F123" s="7">
        <f t="shared" si="139"/>
        <v>21.57267074</v>
      </c>
      <c r="G123" s="7">
        <f t="shared" si="140"/>
        <v>-2.030213465</v>
      </c>
      <c r="H123" s="7">
        <f t="shared" si="4"/>
        <v>-4.139</v>
      </c>
    </row>
    <row r="124">
      <c r="A124" s="3">
        <v>123.0</v>
      </c>
      <c r="B124" s="7">
        <f t="shared" ref="B124:C124" si="199">B123+D124</f>
        <v>1317.03</v>
      </c>
      <c r="C124" s="7">
        <f t="shared" si="199"/>
        <v>18.82817156</v>
      </c>
      <c r="D124" s="7">
        <f>IFERROR(__xludf.DUMMYFUNCTION("""COMPUTED_VALUE"""),-150.0)</f>
        <v>-150</v>
      </c>
      <c r="E124" s="7">
        <f>IFERROR(__xludf.DUMMYFUNCTION("""COMPUTED_VALUE"""),-0.7142857142857143)</f>
        <v>-0.7142857143</v>
      </c>
      <c r="F124" s="7">
        <f t="shared" si="139"/>
        <v>21.57267074</v>
      </c>
      <c r="G124" s="7">
        <f t="shared" si="140"/>
        <v>-2.744499179</v>
      </c>
      <c r="H124" s="7">
        <f t="shared" si="4"/>
        <v>-4.139</v>
      </c>
    </row>
    <row r="125">
      <c r="A125" s="3">
        <v>124.0</v>
      </c>
      <c r="B125" s="7">
        <f t="shared" ref="B125:C125" si="200">B124+D125</f>
        <v>1477.92</v>
      </c>
      <c r="C125" s="7">
        <f t="shared" si="200"/>
        <v>19.56960013</v>
      </c>
      <c r="D125" s="7">
        <f>IFERROR(__xludf.DUMMYFUNCTION("""COMPUTED_VALUE"""),160.89)</f>
        <v>160.89</v>
      </c>
      <c r="E125" s="7">
        <f>IFERROR(__xludf.DUMMYFUNCTION("""COMPUTED_VALUE"""),0.7414285714285713)</f>
        <v>0.7414285714</v>
      </c>
      <c r="F125" s="7">
        <f t="shared" si="139"/>
        <v>21.57267074</v>
      </c>
      <c r="G125" s="7">
        <f t="shared" si="140"/>
        <v>-2.003070608</v>
      </c>
      <c r="H125" s="7">
        <f t="shared" si="4"/>
        <v>-4.139</v>
      </c>
    </row>
    <row r="126">
      <c r="A126" s="3">
        <v>125.0</v>
      </c>
      <c r="B126" s="7">
        <f t="shared" ref="B126:C126" si="201">B125+D126</f>
        <v>1269.92</v>
      </c>
      <c r="C126" s="7">
        <f t="shared" si="201"/>
        <v>18.6410287</v>
      </c>
      <c r="D126" s="7">
        <f>IFERROR(__xludf.DUMMYFUNCTION("""COMPUTED_VALUE"""),-208.0)</f>
        <v>-208</v>
      </c>
      <c r="E126" s="7">
        <f>IFERROR(__xludf.DUMMYFUNCTION("""COMPUTED_VALUE"""),-0.9285714285714286)</f>
        <v>-0.9285714286</v>
      </c>
      <c r="F126" s="7">
        <f t="shared" si="139"/>
        <v>21.57267074</v>
      </c>
      <c r="G126" s="7">
        <f t="shared" si="140"/>
        <v>-2.931642036</v>
      </c>
      <c r="H126" s="7">
        <f t="shared" si="4"/>
        <v>-4.139</v>
      </c>
    </row>
    <row r="127">
      <c r="A127" s="3">
        <v>126.0</v>
      </c>
      <c r="B127" s="7">
        <f t="shared" ref="B127:C127" si="202">B126+D127</f>
        <v>1269.92</v>
      </c>
      <c r="C127" s="7">
        <f t="shared" si="202"/>
        <v>18.6410287</v>
      </c>
      <c r="D127" s="7">
        <f>IFERROR(__xludf.DUMMYFUNCTION("""COMPUTED_VALUE"""),0.0)</f>
        <v>0</v>
      </c>
      <c r="E127" s="7">
        <f>IFERROR(__xludf.DUMMYFUNCTION("""COMPUTED_VALUE"""),0.0)</f>
        <v>0</v>
      </c>
      <c r="F127" s="7">
        <f t="shared" si="139"/>
        <v>21.57267074</v>
      </c>
      <c r="G127" s="7">
        <f t="shared" si="140"/>
        <v>-2.931642036</v>
      </c>
      <c r="H127" s="7">
        <f t="shared" si="4"/>
        <v>-4.139</v>
      </c>
    </row>
    <row r="128">
      <c r="A128" s="3">
        <v>127.0</v>
      </c>
      <c r="B128" s="7">
        <f t="shared" ref="B128:C128" si="203">B127+D128</f>
        <v>1603.12</v>
      </c>
      <c r="C128" s="7">
        <f t="shared" si="203"/>
        <v>20.2090287</v>
      </c>
      <c r="D128" s="7">
        <f>IFERROR(__xludf.DUMMYFUNCTION("""COMPUTED_VALUE"""),333.2)</f>
        <v>333.2</v>
      </c>
      <c r="E128" s="7">
        <f>IFERROR(__xludf.DUMMYFUNCTION("""COMPUTED_VALUE"""),1.5679999999999998)</f>
        <v>1.568</v>
      </c>
      <c r="F128" s="7">
        <f t="shared" si="139"/>
        <v>21.57267074</v>
      </c>
      <c r="G128" s="7">
        <f t="shared" si="140"/>
        <v>-1.363642036</v>
      </c>
      <c r="H128" s="7">
        <f t="shared" si="4"/>
        <v>-4.139</v>
      </c>
    </row>
    <row r="129">
      <c r="A129" s="3">
        <v>128.0</v>
      </c>
      <c r="B129" s="7">
        <f t="shared" ref="B129:C129" si="204">B128+D129</f>
        <v>1398</v>
      </c>
      <c r="C129" s="7">
        <f t="shared" si="204"/>
        <v>19.14069537</v>
      </c>
      <c r="D129" s="7">
        <f>IFERROR(__xludf.DUMMYFUNCTION("""COMPUTED_VALUE"""),-205.12)</f>
        <v>-205.12</v>
      </c>
      <c r="E129" s="7">
        <f>IFERROR(__xludf.DUMMYFUNCTION("""COMPUTED_VALUE"""),-1.0683333333333334)</f>
        <v>-1.068333333</v>
      </c>
      <c r="F129" s="7">
        <f t="shared" si="139"/>
        <v>21.57267074</v>
      </c>
      <c r="G129" s="7">
        <f t="shared" si="140"/>
        <v>-2.431975369</v>
      </c>
      <c r="H129" s="7">
        <f t="shared" si="4"/>
        <v>-4.139</v>
      </c>
    </row>
    <row r="130">
      <c r="A130" s="3">
        <v>129.0</v>
      </c>
      <c r="B130" s="7">
        <f t="shared" ref="B130:C130" si="205">B129+D130</f>
        <v>1190.52</v>
      </c>
      <c r="C130" s="7">
        <f t="shared" si="205"/>
        <v>18.08212394</v>
      </c>
      <c r="D130" s="7">
        <f>IFERROR(__xludf.DUMMYFUNCTION("""COMPUTED_VALUE"""),-207.48)</f>
        <v>-207.48</v>
      </c>
      <c r="E130" s="7">
        <f>IFERROR(__xludf.DUMMYFUNCTION("""COMPUTED_VALUE"""),-1.0585714285714285)</f>
        <v>-1.058571429</v>
      </c>
      <c r="F130" s="7">
        <f t="shared" si="139"/>
        <v>21.57267074</v>
      </c>
      <c r="G130" s="7">
        <f t="shared" si="140"/>
        <v>-3.490546798</v>
      </c>
      <c r="H130" s="7">
        <f t="shared" si="4"/>
        <v>-4.139</v>
      </c>
    </row>
    <row r="131">
      <c r="A131" s="3">
        <v>130.0</v>
      </c>
      <c r="B131" s="7">
        <f t="shared" ref="B131:C131" si="206">B130+D131</f>
        <v>1504.46</v>
      </c>
      <c r="C131" s="7">
        <f t="shared" si="206"/>
        <v>19.6676795</v>
      </c>
      <c r="D131" s="7">
        <f>IFERROR(__xludf.DUMMYFUNCTION("""COMPUTED_VALUE"""),313.94)</f>
        <v>313.94</v>
      </c>
      <c r="E131" s="7">
        <f>IFERROR(__xludf.DUMMYFUNCTION("""COMPUTED_VALUE"""),1.5855555555555554)</f>
        <v>1.585555556</v>
      </c>
      <c r="F131" s="7">
        <f t="shared" si="139"/>
        <v>21.57267074</v>
      </c>
      <c r="G131" s="7">
        <f t="shared" si="140"/>
        <v>-1.904991242</v>
      </c>
      <c r="H131" s="7">
        <f t="shared" si="4"/>
        <v>-4.139</v>
      </c>
    </row>
    <row r="132">
      <c r="D132" s="7">
        <f>IFERROR(__xludf.DUMMYFUNCTION("""COMPUTED_VALUE"""),91.21)</f>
        <v>91.21</v>
      </c>
      <c r="E132" s="7">
        <f>IFERROR(__xludf.DUMMYFUNCTION("""COMPUTED_VALUE"""),0.29196542893725985)</f>
        <v>0.2919654289</v>
      </c>
    </row>
    <row r="133">
      <c r="D133" s="7">
        <f>IFERROR(__xludf.DUMMYFUNCTION("""COMPUTED_VALUE"""),-210.3)</f>
        <v>-210.3</v>
      </c>
      <c r="E133" s="7">
        <f>IFERROR(__xludf.DUMMYFUNCTION("""COMPUTED_VALUE"""),-1.0784615384615386)</f>
        <v>-1.078461538</v>
      </c>
    </row>
    <row r="134">
      <c r="D134" s="7">
        <f>IFERROR(__xludf.DUMMYFUNCTION("""COMPUTED_VALUE"""),-239.94)</f>
        <v>-239.94</v>
      </c>
      <c r="E134" s="7">
        <f>IFERROR(__xludf.DUMMYFUNCTION("""COMPUTED_VALUE"""),-1.1159999999999999)</f>
        <v>-1.116</v>
      </c>
    </row>
    <row r="135">
      <c r="D135" s="7">
        <f>IFERROR(__xludf.DUMMYFUNCTION("""COMPUTED_VALUE"""),-141.02)</f>
        <v>-141.02</v>
      </c>
      <c r="E135" s="7">
        <f>IFERROR(__xludf.DUMMYFUNCTION("""COMPUTED_VALUE"""),-0.8546666666666667)</f>
        <v>-0.8546666667</v>
      </c>
    </row>
    <row r="136">
      <c r="D136" s="7">
        <f>IFERROR(__xludf.DUMMYFUNCTION("""COMPUTED_VALUE"""),19.38)</f>
        <v>19.38</v>
      </c>
      <c r="E136" s="7">
        <f>IFERROR(__xludf.DUMMYFUNCTION("""COMPUTED_VALUE"""),0.22799999999999998)</f>
        <v>0.228</v>
      </c>
    </row>
    <row r="137">
      <c r="D137" s="7">
        <f>IFERROR(__xludf.DUMMYFUNCTION("""COMPUTED_VALUE"""),233.7)</f>
        <v>233.7</v>
      </c>
      <c r="E137" s="7">
        <f>IFERROR(__xludf.DUMMYFUNCTION("""COMPUTED_VALUE"""),1.9475)</f>
        <v>1.9475</v>
      </c>
    </row>
    <row r="138">
      <c r="D138" s="7">
        <f>IFERROR(__xludf.DUMMYFUNCTION("""COMPUTED_VALUE"""),239.7)</f>
        <v>239.7</v>
      </c>
      <c r="E138" s="7">
        <f>IFERROR(__xludf.DUMMYFUNCTION("""COMPUTED_VALUE"""),1.7755555555555556)</f>
        <v>1.775555556</v>
      </c>
    </row>
    <row r="139">
      <c r="D139" s="7">
        <f>IFERROR(__xludf.DUMMYFUNCTION("""COMPUTED_VALUE"""),-135.72)</f>
        <v>-135.72</v>
      </c>
      <c r="E139" s="7">
        <f>IFERROR(__xludf.DUMMYFUNCTION("""COMPUTED_VALUE"""),-0.87)</f>
        <v>-0.87</v>
      </c>
    </row>
    <row r="140">
      <c r="D140" s="7">
        <f>IFERROR(__xludf.DUMMYFUNCTION("""COMPUTED_VALUE"""),0.0)</f>
        <v>0</v>
      </c>
      <c r="E140" s="7">
        <f>IFERROR(__xludf.DUMMYFUNCTION("""COMPUTED_VALUE"""),0.0)</f>
        <v>0</v>
      </c>
    </row>
    <row r="141">
      <c r="D141" s="7">
        <f>IFERROR(__xludf.DUMMYFUNCTION("""COMPUTED_VALUE"""),271.95)</f>
        <v>271.95</v>
      </c>
      <c r="E141" s="7">
        <f>IFERROR(__xludf.DUMMYFUNCTION("""COMPUTED_VALUE"""),1.9425)</f>
        <v>1.9425</v>
      </c>
    </row>
    <row r="142">
      <c r="D142" s="7">
        <f>IFERROR(__xludf.DUMMYFUNCTION("""COMPUTED_VALUE"""),-152.79)</f>
        <v>-152.79</v>
      </c>
      <c r="E142" s="7">
        <f>IFERROR(__xludf.DUMMYFUNCTION("""COMPUTED_VALUE"""),-1.5433333333333332)</f>
        <v>-1.543333333</v>
      </c>
    </row>
    <row r="143">
      <c r="D143" s="7">
        <f>IFERROR(__xludf.DUMMYFUNCTION("""COMPUTED_VALUE"""),234.37)</f>
        <v>234.37</v>
      </c>
      <c r="E143" s="7">
        <f>IFERROR(__xludf.DUMMYFUNCTION("""COMPUTED_VALUE"""),1.6983333333333335)</f>
        <v>1.698333333</v>
      </c>
    </row>
    <row r="144">
      <c r="D144" s="7">
        <f>IFERROR(__xludf.DUMMYFUNCTION("""COMPUTED_VALUE"""),-150.85)</f>
        <v>-150.85</v>
      </c>
      <c r="E144" s="7">
        <f>IFERROR(__xludf.DUMMYFUNCTION("""COMPUTED_VALUE"""),-1.0775)</f>
        <v>-1.0775</v>
      </c>
    </row>
    <row r="145">
      <c r="D145" s="7">
        <f>IFERROR(__xludf.DUMMYFUNCTION("""COMPUTED_VALUE"""),-158.9)</f>
        <v>-158.9</v>
      </c>
      <c r="E145" s="7">
        <f>IFERROR(__xludf.DUMMYFUNCTION("""COMPUTED_VALUE"""),-1.135)</f>
        <v>-1.135</v>
      </c>
    </row>
    <row r="146">
      <c r="D146" s="7">
        <f>IFERROR(__xludf.DUMMYFUNCTION("""COMPUTED_VALUE"""),273.7)</f>
        <v>273.7</v>
      </c>
      <c r="E146" s="7">
        <f>IFERROR(__xludf.DUMMYFUNCTION("""COMPUTED_VALUE"""),1.9549999999999998)</f>
        <v>1.955</v>
      </c>
    </row>
    <row r="147">
      <c r="D147" s="7">
        <f>IFERROR(__xludf.DUMMYFUNCTION("""COMPUTED_VALUE"""),1427.04)</f>
        <v>1427.04</v>
      </c>
      <c r="E147" s="7">
        <f>IFERROR(__xludf.DUMMYFUNCTION("""COMPUTED_VALUE"""),2.3784)</f>
        <v>2.3784</v>
      </c>
    </row>
    <row r="148">
      <c r="D148" s="7">
        <f>IFERROR(__xludf.DUMMYFUNCTION("""COMPUTED_VALUE"""),1415.0)</f>
        <v>1415</v>
      </c>
      <c r="E148" s="7">
        <f>IFERROR(__xludf.DUMMYFUNCTION("""COMPUTED_VALUE"""),2.3583333333333334)</f>
        <v>2.358333333</v>
      </c>
    </row>
    <row r="149">
      <c r="D149" s="7">
        <f>IFERROR(__xludf.DUMMYFUNCTION("""COMPUTED_VALUE"""),-841.2)</f>
        <v>-841.2</v>
      </c>
      <c r="E149" s="7">
        <f>IFERROR(__xludf.DUMMYFUNCTION("""COMPUTED_VALUE"""),-1.4020000000000001)</f>
        <v>-1.402</v>
      </c>
    </row>
    <row r="150">
      <c r="D150" s="7">
        <f>IFERROR(__xludf.DUMMYFUNCTION("""COMPUTED_VALUE"""),-871.2)</f>
        <v>-871.2</v>
      </c>
      <c r="E150" s="7">
        <f>IFERROR(__xludf.DUMMYFUNCTION("""COMPUTED_VALUE"""),-1.4520000000000002)</f>
        <v>-1.452</v>
      </c>
    </row>
    <row r="151">
      <c r="D151" s="7">
        <f>IFERROR(__xludf.DUMMYFUNCTION("""COMPUTED_VALUE"""),-792.96)</f>
        <v>-792.96</v>
      </c>
      <c r="E151" s="7">
        <f>IFERROR(__xludf.DUMMYFUNCTION("""COMPUTED_VALUE"""),-1.3216)</f>
        <v>-1.3216</v>
      </c>
    </row>
    <row r="152">
      <c r="D152" s="7">
        <f>IFERROR(__xludf.DUMMYFUNCTION("""COMPUTED_VALUE"""),-927.6)</f>
        <v>-927.6</v>
      </c>
      <c r="E152" s="7">
        <f>IFERROR(__xludf.DUMMYFUNCTION("""COMPUTED_VALUE"""),-1.546)</f>
        <v>-1.546</v>
      </c>
    </row>
    <row r="153">
      <c r="D153" s="7">
        <f>IFERROR(__xludf.DUMMYFUNCTION("""COMPUTED_VALUE"""),-666.4)</f>
        <v>-666.4</v>
      </c>
      <c r="E153" s="7">
        <f>IFERROR(__xludf.DUMMYFUNCTION("""COMPUTED_VALUE"""),-1.1106666666666667)</f>
        <v>-1.110666667</v>
      </c>
    </row>
    <row r="154">
      <c r="D154" s="7">
        <f>IFERROR(__xludf.DUMMYFUNCTION("""COMPUTED_VALUE"""),-1190.4)</f>
        <v>-1190.4</v>
      </c>
      <c r="E154" s="7">
        <f>IFERROR(__xludf.DUMMYFUNCTION("""COMPUTED_VALUE"""),-1.9840000000000002)</f>
        <v>-1.984</v>
      </c>
    </row>
    <row r="155">
      <c r="D155" s="7">
        <f>IFERROR(__xludf.DUMMYFUNCTION("""COMPUTED_VALUE"""),1269.5)</f>
        <v>1269.5</v>
      </c>
      <c r="E155" s="7">
        <f>IFERROR(__xludf.DUMMYFUNCTION("""COMPUTED_VALUE"""),2.1158333333333332)</f>
        <v>2.115833333</v>
      </c>
    </row>
    <row r="156">
      <c r="D156" s="7">
        <f>IFERROR(__xludf.DUMMYFUNCTION("""COMPUTED_VALUE"""),929.46)</f>
        <v>929.46</v>
      </c>
      <c r="E156" s="7">
        <f>IFERROR(__xludf.DUMMYFUNCTION("""COMPUTED_VALUE"""),4.426)</f>
        <v>4.426</v>
      </c>
    </row>
    <row r="157">
      <c r="D157" s="7">
        <f>IFERROR(__xludf.DUMMYFUNCTION("""COMPUTED_VALUE"""),-869.19)</f>
        <v>-869.19</v>
      </c>
      <c r="E157" s="7">
        <f>IFERROR(__xludf.DUMMYFUNCTION("""COMPUTED_VALUE"""),-4.139)</f>
        <v>-4.139</v>
      </c>
    </row>
    <row r="158">
      <c r="D158" s="7">
        <f>IFERROR(__xludf.DUMMYFUNCTION("""COMPUTED_VALUE"""),47.46)</f>
        <v>47.46</v>
      </c>
      <c r="E158" s="7">
        <f>IFERROR(__xludf.DUMMYFUNCTION("""COMPUTED_VALUE"""),0.226)</f>
        <v>0.226</v>
      </c>
    </row>
    <row r="159">
      <c r="D159" s="7">
        <f>IFERROR(__xludf.DUMMYFUNCTION("""COMPUTED_VALUE"""),467.46)</f>
        <v>467.46</v>
      </c>
      <c r="E159" s="7">
        <f>IFERROR(__xludf.DUMMYFUNCTION("""COMPUTED_VALUE"""),2.226)</f>
        <v>2.226</v>
      </c>
    </row>
    <row r="160">
      <c r="D160" s="7">
        <f>IFERROR(__xludf.DUMMYFUNCTION("""COMPUTED_VALUE"""),6.0)</f>
        <v>6</v>
      </c>
      <c r="E160" s="7">
        <f>IFERROR(__xludf.DUMMYFUNCTION("""COMPUTED_VALUE"""),0.02857142857142857)</f>
        <v>0.02857142857</v>
      </c>
    </row>
    <row r="161">
      <c r="D161" s="7">
        <f>IFERROR(__xludf.DUMMYFUNCTION("""COMPUTED_VALUE"""),692.3)</f>
        <v>692.3</v>
      </c>
      <c r="E161" s="7">
        <f>IFERROR(__xludf.DUMMYFUNCTION("""COMPUTED_VALUE"""),3.2966666666666664)</f>
        <v>3.296666667</v>
      </c>
    </row>
    <row r="162">
      <c r="D162" s="7">
        <f>IFERROR(__xludf.DUMMYFUNCTION("""COMPUTED_VALUE"""),619.71)</f>
        <v>619.71</v>
      </c>
      <c r="E162" s="7">
        <f>IFERROR(__xludf.DUMMYFUNCTION("""COMPUTED_VALUE"""),2.951)</f>
        <v>2.951</v>
      </c>
    </row>
    <row r="163">
      <c r="D163" s="7">
        <f>IFERROR(__xludf.DUMMYFUNCTION("""COMPUTED_VALUE"""),-383.0)</f>
        <v>-383</v>
      </c>
      <c r="E163" s="7">
        <f>IFERROR(__xludf.DUMMYFUNCTION("""COMPUTED_VALUE"""),-1.8238095238095238)</f>
        <v>-1.823809524</v>
      </c>
    </row>
    <row r="164">
      <c r="D164" s="7">
        <f>IFERROR(__xludf.DUMMYFUNCTION("""COMPUTED_VALUE"""),-77.0)</f>
        <v>-77</v>
      </c>
      <c r="E164" s="7">
        <f>IFERROR(__xludf.DUMMYFUNCTION("""COMPUTED_VALUE"""),-0.36666666666666664)</f>
        <v>-0.3666666667</v>
      </c>
    </row>
    <row r="165">
      <c r="D165" s="7">
        <f>IFERROR(__xludf.DUMMYFUNCTION("""COMPUTED_VALUE"""),-267.54)</f>
        <v>-267.54</v>
      </c>
      <c r="E165" s="7">
        <f>IFERROR(__xludf.DUMMYFUNCTION("""COMPUTED_VALUE"""),-1.274)</f>
        <v>-1.274</v>
      </c>
    </row>
    <row r="166">
      <c r="D166" s="7">
        <f>IFERROR(__xludf.DUMMYFUNCTION("""COMPUTED_VALUE"""),326.95)</f>
        <v>326.95</v>
      </c>
      <c r="E166" s="7">
        <f>IFERROR(__xludf.DUMMYFUNCTION("""COMPUTED_VALUE"""),2.515)</f>
        <v>2.515</v>
      </c>
    </row>
    <row r="167">
      <c r="D167" s="7">
        <f>IFERROR(__xludf.DUMMYFUNCTION("""COMPUTED_VALUE"""),-250.6)</f>
        <v>-250.6</v>
      </c>
      <c r="E167" s="7">
        <f>IFERROR(__xludf.DUMMYFUNCTION("""COMPUTED_VALUE"""),-1.1933333333333334)</f>
        <v>-1.193333333</v>
      </c>
    </row>
    <row r="168">
      <c r="D168" s="7">
        <f>IFERROR(__xludf.DUMMYFUNCTION("""COMPUTED_VALUE"""),34.0)</f>
        <v>34</v>
      </c>
      <c r="E168" s="7">
        <f>IFERROR(__xludf.DUMMYFUNCTION("""COMPUTED_VALUE"""),0.1619047619047619)</f>
        <v>0.1619047619</v>
      </c>
    </row>
    <row r="169">
      <c r="D169" s="7">
        <f>IFERROR(__xludf.DUMMYFUNCTION("""COMPUTED_VALUE"""),-189.7)</f>
        <v>-189.7</v>
      </c>
      <c r="E169" s="7">
        <f>IFERROR(__xludf.DUMMYFUNCTION("""COMPUTED_VALUE"""),-0.9033333333333333)</f>
        <v>-0.9033333333</v>
      </c>
    </row>
    <row r="170">
      <c r="D170" s="7">
        <f>IFERROR(__xludf.DUMMYFUNCTION("""COMPUTED_VALUE"""),-225.54)</f>
        <v>-225.54</v>
      </c>
      <c r="E170" s="7">
        <f>IFERROR(__xludf.DUMMYFUNCTION("""COMPUTED_VALUE"""),-1.074)</f>
        <v>-1.074</v>
      </c>
    </row>
    <row r="171">
      <c r="D171" s="7">
        <f>IFERROR(__xludf.DUMMYFUNCTION("""COMPUTED_VALUE"""),-213.5)</f>
        <v>-213.5</v>
      </c>
      <c r="E171" s="7">
        <f>IFERROR(__xludf.DUMMYFUNCTION("""COMPUTED_VALUE"""),-1.0166666666666666)</f>
        <v>-1.016666667</v>
      </c>
    </row>
    <row r="172">
      <c r="D172" s="7">
        <f>IFERROR(__xludf.DUMMYFUNCTION("""COMPUTED_VALUE"""),-203.7)</f>
        <v>-203.7</v>
      </c>
      <c r="E172" s="7">
        <f>IFERROR(__xludf.DUMMYFUNCTION("""COMPUTED_VALUE"""),-0.97)</f>
        <v>-0.97</v>
      </c>
    </row>
    <row r="173">
      <c r="D173" s="7">
        <f>IFERROR(__xludf.DUMMYFUNCTION("""COMPUTED_VALUE"""),580.0)</f>
        <v>580</v>
      </c>
      <c r="E173" s="7">
        <f>IFERROR(__xludf.DUMMYFUNCTION("""COMPUTED_VALUE"""),2.761904761904762)</f>
        <v>2.761904762</v>
      </c>
    </row>
    <row r="174">
      <c r="D174" s="7">
        <f>IFERROR(__xludf.DUMMYFUNCTION("""COMPUTED_VALUE"""),958.0)</f>
        <v>958</v>
      </c>
      <c r="E174" s="7">
        <f>IFERROR(__xludf.DUMMYFUNCTION("""COMPUTED_VALUE"""),4.561904761904762)</f>
        <v>4.561904762</v>
      </c>
    </row>
    <row r="175">
      <c r="D175" s="7">
        <f>IFERROR(__xludf.DUMMYFUNCTION("""COMPUTED_VALUE"""),-231.7)</f>
        <v>-231.7</v>
      </c>
      <c r="E175" s="7">
        <f>IFERROR(__xludf.DUMMYFUNCTION("""COMPUTED_VALUE"""),-1.1033333333333333)</f>
        <v>-1.103333333</v>
      </c>
    </row>
    <row r="176">
      <c r="D176" s="7">
        <f>IFERROR(__xludf.DUMMYFUNCTION("""COMPUTED_VALUE"""),20.0)</f>
        <v>20</v>
      </c>
      <c r="E176" s="7">
        <f>IFERROR(__xludf.DUMMYFUNCTION("""COMPUTED_VALUE"""),0.09523809523809523)</f>
        <v>0.09523809524</v>
      </c>
    </row>
    <row r="177">
      <c r="D177" s="7">
        <f>IFERROR(__xludf.DUMMYFUNCTION("""COMPUTED_VALUE"""),-245.7)</f>
        <v>-245.7</v>
      </c>
      <c r="E177" s="7">
        <f>IFERROR(__xludf.DUMMYFUNCTION("""COMPUTED_VALUE"""),-1.17)</f>
        <v>-1.17</v>
      </c>
    </row>
    <row r="178">
      <c r="D178" s="7">
        <f>IFERROR(__xludf.DUMMYFUNCTION("""COMPUTED_VALUE"""),0.0)</f>
        <v>0</v>
      </c>
      <c r="E178" s="7">
        <f>IFERROR(__xludf.DUMMYFUNCTION("""COMPUTED_VALUE"""),0.0)</f>
        <v>0</v>
      </c>
    </row>
    <row r="179">
      <c r="D179" s="7">
        <f>IFERROR(__xludf.DUMMYFUNCTION("""COMPUTED_VALUE"""),593.46)</f>
        <v>593.46</v>
      </c>
      <c r="E179" s="7">
        <f>IFERROR(__xludf.DUMMYFUNCTION("""COMPUTED_VALUE"""),2.826)</f>
        <v>2.826</v>
      </c>
    </row>
    <row r="180">
      <c r="D180" s="7">
        <f>IFERROR(__xludf.DUMMYFUNCTION("""COMPUTED_VALUE"""),579.46)</f>
        <v>579.46</v>
      </c>
      <c r="E180" s="7">
        <f>IFERROR(__xludf.DUMMYFUNCTION("""COMPUTED_VALUE"""),2.7593333333333336)</f>
        <v>2.759333333</v>
      </c>
    </row>
    <row r="181">
      <c r="D181" s="7">
        <f>IFERROR(__xludf.DUMMYFUNCTION("""COMPUTED_VALUE"""),-239.54)</f>
        <v>-239.54</v>
      </c>
      <c r="E181" s="7">
        <f>IFERROR(__xludf.DUMMYFUNCTION("""COMPUTED_VALUE"""),-1.1406666666666667)</f>
        <v>-1.140666667</v>
      </c>
    </row>
    <row r="182">
      <c r="D182" s="7">
        <f>IFERROR(__xludf.DUMMYFUNCTION("""COMPUTED_VALUE"""),577.92)</f>
        <v>577.92</v>
      </c>
      <c r="E182" s="7">
        <f>IFERROR(__xludf.DUMMYFUNCTION("""COMPUTED_VALUE"""),2.752)</f>
        <v>2.752</v>
      </c>
    </row>
    <row r="183">
      <c r="D183" s="7">
        <f>IFERROR(__xludf.DUMMYFUNCTION("""COMPUTED_VALUE"""),-211.54)</f>
        <v>-211.54</v>
      </c>
      <c r="E183" s="7">
        <f>IFERROR(__xludf.DUMMYFUNCTION("""COMPUTED_VALUE"""),-1.0073333333333332)</f>
        <v>-1.007333333</v>
      </c>
    </row>
    <row r="184">
      <c r="D184" s="7">
        <f>IFERROR(__xludf.DUMMYFUNCTION("""COMPUTED_VALUE"""),552.3)</f>
        <v>552.3</v>
      </c>
      <c r="E184" s="7">
        <f>IFERROR(__xludf.DUMMYFUNCTION("""COMPUTED_VALUE"""),2.63)</f>
        <v>2.63</v>
      </c>
    </row>
    <row r="185">
      <c r="D185" s="7">
        <f>IFERROR(__xludf.DUMMYFUNCTION("""COMPUTED_VALUE"""),-218.54)</f>
        <v>-218.54</v>
      </c>
      <c r="E185" s="7">
        <f>IFERROR(__xludf.DUMMYFUNCTION("""COMPUTED_VALUE"""),-1.0406666666666666)</f>
        <v>-1.040666667</v>
      </c>
    </row>
    <row r="186">
      <c r="D186" s="7">
        <f>IFERROR(__xludf.DUMMYFUNCTION("""COMPUTED_VALUE"""),-243.1)</f>
        <v>-243.1</v>
      </c>
      <c r="E186" s="7">
        <f>IFERROR(__xludf.DUMMYFUNCTION("""COMPUTED_VALUE"""),-0.8103333333333333)</f>
        <v>-0.8103333333</v>
      </c>
    </row>
    <row r="187">
      <c r="D187" s="7">
        <f>IFERROR(__xludf.DUMMYFUNCTION("""COMPUTED_VALUE"""),0.0)</f>
        <v>0</v>
      </c>
      <c r="E187" s="7">
        <f>IFERROR(__xludf.DUMMYFUNCTION("""COMPUTED_VALUE"""),0.0)</f>
        <v>0</v>
      </c>
    </row>
    <row r="188">
      <c r="D188" s="7">
        <f>IFERROR(__xludf.DUMMYFUNCTION("""COMPUTED_VALUE"""),-309.36)</f>
        <v>-309.36</v>
      </c>
      <c r="E188" s="7">
        <f>IFERROR(__xludf.DUMMYFUNCTION("""COMPUTED_VALUE"""),-1.0312000000000001)</f>
        <v>-1.0312</v>
      </c>
    </row>
    <row r="189">
      <c r="D189" s="7">
        <f>IFERROR(__xludf.DUMMYFUNCTION("""COMPUTED_VALUE"""),-293.1)</f>
        <v>-293.1</v>
      </c>
      <c r="E189" s="7">
        <f>IFERROR(__xludf.DUMMYFUNCTION("""COMPUTED_VALUE"""),-0.9770000000000001)</f>
        <v>-0.977</v>
      </c>
    </row>
    <row r="190">
      <c r="D190" s="7">
        <f>IFERROR(__xludf.DUMMYFUNCTION("""COMPUTED_VALUE"""),41.4)</f>
        <v>41.4</v>
      </c>
      <c r="E190" s="7">
        <f>IFERROR(__xludf.DUMMYFUNCTION("""COMPUTED_VALUE"""),0.13799999999999998)</f>
        <v>0.138</v>
      </c>
    </row>
    <row r="191">
      <c r="D191" s="7">
        <f>IFERROR(__xludf.DUMMYFUNCTION("""COMPUTED_VALUE"""),1046.9)</f>
        <v>1046.9</v>
      </c>
      <c r="E191" s="7">
        <f>IFERROR(__xludf.DUMMYFUNCTION("""COMPUTED_VALUE"""),3.489666666666667)</f>
        <v>3.489666667</v>
      </c>
    </row>
    <row r="192">
      <c r="D192" s="7">
        <f>IFERROR(__xludf.DUMMYFUNCTION("""COMPUTED_VALUE"""),-1064.0)</f>
        <v>-1064</v>
      </c>
      <c r="E192" s="7">
        <f>IFERROR(__xludf.DUMMYFUNCTION("""COMPUTED_VALUE"""),-1.0747474747474748)</f>
        <v>-1.074747475</v>
      </c>
    </row>
    <row r="193">
      <c r="D193" s="7">
        <f>IFERROR(__xludf.DUMMYFUNCTION("""COMPUTED_VALUE"""),0.0)</f>
        <v>0</v>
      </c>
      <c r="E193" s="7">
        <f>IFERROR(__xludf.DUMMYFUNCTION("""COMPUTED_VALUE"""),0.0)</f>
        <v>0</v>
      </c>
    </row>
    <row r="194">
      <c r="D194" s="7">
        <f>IFERROR(__xludf.DUMMYFUNCTION("""COMPUTED_VALUE"""),-1130.58)</f>
        <v>-1130.58</v>
      </c>
      <c r="E194" s="7">
        <f>IFERROR(__xludf.DUMMYFUNCTION("""COMPUTED_VALUE"""),-1.142)</f>
        <v>-1.142</v>
      </c>
    </row>
    <row r="195">
      <c r="D195" s="7">
        <f>IFERROR(__xludf.DUMMYFUNCTION("""COMPUTED_VALUE"""),0.0)</f>
        <v>0</v>
      </c>
      <c r="E195" s="7">
        <f>IFERROR(__xludf.DUMMYFUNCTION("""COMPUTED_VALUE"""),0.0)</f>
        <v>0</v>
      </c>
    </row>
    <row r="196">
      <c r="D196" s="7">
        <f>IFERROR(__xludf.DUMMYFUNCTION("""COMPUTED_VALUE"""),-1114.08)</f>
        <v>-1114.08</v>
      </c>
      <c r="E196" s="7">
        <f>IFERROR(__xludf.DUMMYFUNCTION("""COMPUTED_VALUE"""),-1.1253333333333333)</f>
        <v>-1.125333333</v>
      </c>
    </row>
    <row r="197">
      <c r="D197" s="7">
        <f>IFERROR(__xludf.DUMMYFUNCTION("""COMPUTED_VALUE"""),-701.58)</f>
        <v>-701.58</v>
      </c>
      <c r="E197" s="7">
        <f>IFERROR(__xludf.DUMMYFUNCTION("""COMPUTED_VALUE"""),-0.7086666666666667)</f>
        <v>-0.7086666667</v>
      </c>
    </row>
    <row r="198">
      <c r="D198" s="7">
        <f>IFERROR(__xludf.DUMMYFUNCTION("""COMPUTED_VALUE"""),-1262.58)</f>
        <v>-1262.58</v>
      </c>
      <c r="E198" s="7">
        <f>IFERROR(__xludf.DUMMYFUNCTION("""COMPUTED_VALUE"""),-1.2753333333333332)</f>
        <v>-1.275333333</v>
      </c>
    </row>
    <row r="199">
      <c r="D199" s="7">
        <f>IFERROR(__xludf.DUMMYFUNCTION("""COMPUTED_VALUE"""),1575.42)</f>
        <v>1575.42</v>
      </c>
      <c r="E199" s="7">
        <f>IFERROR(__xludf.DUMMYFUNCTION("""COMPUTED_VALUE"""),1.5913333333333335)</f>
        <v>1.591333333</v>
      </c>
    </row>
    <row r="200">
      <c r="D200" s="7">
        <f>IFERROR(__xludf.DUMMYFUNCTION("""COMPUTED_VALUE"""),-256.0)</f>
        <v>-256</v>
      </c>
      <c r="E200" s="7">
        <f>IFERROR(__xludf.DUMMYFUNCTION("""COMPUTED_VALUE"""),-0.2585858585858586)</f>
        <v>-0.2585858586</v>
      </c>
    </row>
    <row r="201">
      <c r="D201" s="7">
        <f>IFERROR(__xludf.DUMMYFUNCTION("""COMPUTED_VALUE"""),1288.0)</f>
        <v>1288</v>
      </c>
      <c r="E201" s="7">
        <f>IFERROR(__xludf.DUMMYFUNCTION("""COMPUTED_VALUE"""),1.288)</f>
        <v>1.288</v>
      </c>
    </row>
    <row r="202">
      <c r="D202" s="7">
        <f>IFERROR(__xludf.DUMMYFUNCTION("""COMPUTED_VALUE"""),-1080.0)</f>
        <v>-1080</v>
      </c>
      <c r="E202" s="7">
        <f>IFERROR(__xludf.DUMMYFUNCTION("""COMPUTED_VALUE"""),-1.08)</f>
        <v>-1.08</v>
      </c>
    </row>
    <row r="203">
      <c r="D203" s="7">
        <f>IFERROR(__xludf.DUMMYFUNCTION("""COMPUTED_VALUE"""),-1130.0)</f>
        <v>-1130</v>
      </c>
      <c r="E203" s="7">
        <f>IFERROR(__xludf.DUMMYFUNCTION("""COMPUTED_VALUE"""),-1.1414141414141414)</f>
        <v>-1.141414141</v>
      </c>
    </row>
    <row r="204">
      <c r="D204" s="7">
        <f>IFERROR(__xludf.DUMMYFUNCTION("""COMPUTED_VALUE"""),-1052.0)</f>
        <v>-1052</v>
      </c>
      <c r="E204" s="7">
        <f>IFERROR(__xludf.DUMMYFUNCTION("""COMPUTED_VALUE"""),-1.052)</f>
        <v>-1.052</v>
      </c>
    </row>
    <row r="205">
      <c r="D205" s="7">
        <f>IFERROR(__xludf.DUMMYFUNCTION("""COMPUTED_VALUE"""),2136.42)</f>
        <v>2136.42</v>
      </c>
      <c r="E205" s="7">
        <f>IFERROR(__xludf.DUMMYFUNCTION("""COMPUTED_VALUE"""),2.158)</f>
        <v>2.158</v>
      </c>
    </row>
    <row r="206">
      <c r="D206" s="7">
        <f>IFERROR(__xludf.DUMMYFUNCTION("""COMPUTED_VALUE"""),-1080.0)</f>
        <v>-1080</v>
      </c>
      <c r="E206" s="7">
        <f>IFERROR(__xludf.DUMMYFUNCTION("""COMPUTED_VALUE"""),-1.08)</f>
        <v>-1.08</v>
      </c>
    </row>
    <row r="207">
      <c r="D207" s="7">
        <f>IFERROR(__xludf.DUMMYFUNCTION("""COMPUTED_VALUE"""),-1163.58)</f>
        <v>-1163.58</v>
      </c>
      <c r="E207" s="7">
        <f>IFERROR(__xludf.DUMMYFUNCTION("""COMPUTED_VALUE"""),-1.1753333333333333)</f>
        <v>-1.175333333</v>
      </c>
    </row>
    <row r="208">
      <c r="D208" s="7">
        <f>IFERROR(__xludf.DUMMYFUNCTION("""COMPUTED_VALUE"""),-1092.0)</f>
        <v>-1092</v>
      </c>
      <c r="E208" s="7">
        <f>IFERROR(__xludf.DUMMYFUNCTION("""COMPUTED_VALUE"""),-1.092)</f>
        <v>-1.092</v>
      </c>
    </row>
    <row r="209">
      <c r="D209" s="7">
        <f>IFERROR(__xludf.DUMMYFUNCTION("""COMPUTED_VALUE"""),1612.0)</f>
        <v>1612</v>
      </c>
      <c r="E209" s="7">
        <f>IFERROR(__xludf.DUMMYFUNCTION("""COMPUTED_VALUE"""),1.612)</f>
        <v>1.612</v>
      </c>
    </row>
    <row r="210">
      <c r="D210" s="7">
        <f>IFERROR(__xludf.DUMMYFUNCTION("""COMPUTED_VALUE"""),540.0)</f>
        <v>540</v>
      </c>
      <c r="E210" s="7">
        <f>IFERROR(__xludf.DUMMYFUNCTION("""COMPUTED_VALUE"""),0.54)</f>
        <v>0.54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12.78"/>
    <col customWidth="1" min="3" max="3" width="11.22"/>
    <col customWidth="1" min="4" max="5" width="6.89"/>
    <col customWidth="1" min="6" max="6" width="10.0"/>
    <col customWidth="1" min="7" max="7" width="12.0"/>
    <col customWidth="1" min="8" max="8" width="8.11"/>
    <col customWidth="1" min="9" max="9" width="8.78"/>
    <col customWidth="1" min="10" max="10" width="7.67"/>
    <col customWidth="1" min="11" max="12" width="8.56"/>
    <col customWidth="1" min="13" max="13" width="17.89"/>
    <col customWidth="1" min="14" max="15" width="7.22"/>
    <col customWidth="1" min="16" max="16" width="68.89"/>
    <col customWidth="1" min="17" max="32" width="6.78"/>
  </cols>
  <sheetData>
    <row r="1" ht="15.75" customHeight="1">
      <c r="A1" s="8">
        <f>TODAY()</f>
        <v>46226</v>
      </c>
      <c r="B1" s="9" t="s">
        <v>18</v>
      </c>
      <c r="C1" s="9">
        <f>D5</f>
        <v>166.3</v>
      </c>
      <c r="D1" s="9" t="s">
        <v>23</v>
      </c>
      <c r="E1" s="9">
        <v>50.0</v>
      </c>
      <c r="F1" s="3" t="s">
        <v>26</v>
      </c>
      <c r="G1" s="3">
        <v>0.2</v>
      </c>
      <c r="L1" s="96"/>
    </row>
    <row r="2" ht="15.75" customHeight="1">
      <c r="A2" s="15">
        <f>SUM(H:H)</f>
        <v>98.22</v>
      </c>
      <c r="B2" s="16" t="s">
        <v>36</v>
      </c>
      <c r="C2" s="9">
        <f t="array" ref="C2">ROUND(Index(D5:D1005,Counta(D5:D1005))/C1,1)</f>
        <v>1</v>
      </c>
      <c r="D2" s="9" t="s">
        <v>37</v>
      </c>
      <c r="E2" s="9">
        <v>0.5</v>
      </c>
      <c r="L2" s="96"/>
    </row>
    <row r="3" ht="15.75" customHeight="1">
      <c r="A3" s="15">
        <f>A2*30</f>
        <v>2946.6</v>
      </c>
      <c r="B3" s="3" t="s">
        <v>42</v>
      </c>
      <c r="C3" s="7">
        <f>COUNTIF($H:$H,"&gt;0") / COUNT($H:$H)</f>
        <v>0.5352112676</v>
      </c>
      <c r="D3" s="7">
        <f>COUNT($H:$H)</f>
        <v>71</v>
      </c>
      <c r="L3" s="96"/>
    </row>
    <row r="4" ht="15.75" customHeight="1">
      <c r="D4" s="18" t="s">
        <v>43</v>
      </c>
      <c r="E4" s="18" t="s">
        <v>44</v>
      </c>
      <c r="F4" s="18" t="s">
        <v>367</v>
      </c>
      <c r="G4" s="18" t="s">
        <v>368</v>
      </c>
      <c r="H4" s="18" t="s">
        <v>47</v>
      </c>
      <c r="I4" s="18" t="s">
        <v>48</v>
      </c>
      <c r="J4" s="19" t="s">
        <v>49</v>
      </c>
      <c r="K4" s="19"/>
      <c r="L4" s="20" t="s">
        <v>50</v>
      </c>
      <c r="M4" s="19" t="s">
        <v>51</v>
      </c>
      <c r="N4" s="19" t="s">
        <v>52</v>
      </c>
      <c r="O4" s="19" t="s">
        <v>53</v>
      </c>
      <c r="P4" s="18" t="s">
        <v>54</v>
      </c>
    </row>
    <row r="5" ht="15.75" customHeight="1">
      <c r="A5" s="21" t="s">
        <v>55</v>
      </c>
      <c r="B5" s="22"/>
      <c r="C5" s="23">
        <f>SUM(H5:H12)</f>
        <v>-15.9</v>
      </c>
      <c r="D5" s="24">
        <v>166.3</v>
      </c>
      <c r="E5" s="24">
        <f t="shared" ref="E5:E6" si="1">F5/$E$1</f>
        <v>1.663</v>
      </c>
      <c r="F5" s="24">
        <f t="shared" ref="F5:F6" si="2">D5*$E$2</f>
        <v>83.15</v>
      </c>
      <c r="G5" s="24">
        <f t="shared" ref="G5:G6" si="3">ROUND(H5/($E$1*E5),1)</f>
        <v>0</v>
      </c>
      <c r="H5" s="25"/>
      <c r="I5" s="25"/>
      <c r="J5" s="32"/>
      <c r="K5" s="32"/>
      <c r="L5" s="31"/>
      <c r="M5" s="32"/>
      <c r="N5" s="34"/>
      <c r="O5" s="34"/>
      <c r="P5" s="98"/>
    </row>
    <row r="6" ht="15.75" customHeight="1">
      <c r="A6" s="35" t="s">
        <v>73</v>
      </c>
      <c r="B6" s="36">
        <v>150.0</v>
      </c>
      <c r="C6" s="37"/>
      <c r="D6" s="38">
        <f>D5+H5</f>
        <v>166.3</v>
      </c>
      <c r="E6" s="24">
        <f t="shared" si="1"/>
        <v>1.663</v>
      </c>
      <c r="F6" s="24">
        <f t="shared" si="2"/>
        <v>83.15</v>
      </c>
      <c r="G6" s="24">
        <f t="shared" si="3"/>
        <v>0</v>
      </c>
      <c r="H6" s="13"/>
      <c r="I6" s="13"/>
      <c r="J6" s="29"/>
      <c r="L6" s="39"/>
      <c r="M6" s="29"/>
      <c r="N6" s="41"/>
      <c r="O6" s="41"/>
      <c r="P6" s="42"/>
      <c r="Q6" s="9"/>
    </row>
    <row r="7" ht="15.75" customHeight="1">
      <c r="A7" s="35" t="s">
        <v>112</v>
      </c>
      <c r="B7" s="15">
        <f>C5-B6</f>
        <v>-165.9</v>
      </c>
      <c r="C7" s="37"/>
      <c r="D7" s="38"/>
      <c r="E7" s="24"/>
      <c r="F7" s="24"/>
      <c r="G7" s="25">
        <v>1.0</v>
      </c>
      <c r="H7" s="25">
        <v>3.49</v>
      </c>
      <c r="I7" s="25" t="s">
        <v>371</v>
      </c>
      <c r="J7" s="29" t="s">
        <v>372</v>
      </c>
      <c r="K7" s="29">
        <v>25136.42</v>
      </c>
      <c r="L7" s="31">
        <v>25160.74</v>
      </c>
      <c r="M7" s="32" t="s">
        <v>374</v>
      </c>
      <c r="N7" s="33">
        <v>45951.0</v>
      </c>
      <c r="O7" s="34">
        <v>0.9034722222222222</v>
      </c>
      <c r="P7" s="42"/>
      <c r="Q7" s="9"/>
    </row>
    <row r="8" ht="15.75" customHeight="1">
      <c r="C8" s="37"/>
      <c r="D8" s="38"/>
      <c r="E8" s="24"/>
      <c r="F8" s="24"/>
      <c r="G8" s="25">
        <v>-1.0</v>
      </c>
      <c r="H8" s="13">
        <v>-6.2</v>
      </c>
      <c r="I8" s="13" t="s">
        <v>371</v>
      </c>
      <c r="J8" s="32" t="s">
        <v>60</v>
      </c>
      <c r="K8" s="29">
        <v>46859.59</v>
      </c>
      <c r="L8" s="39">
        <v>46792.51</v>
      </c>
      <c r="M8" s="29" t="s">
        <v>375</v>
      </c>
      <c r="N8" s="40">
        <v>45951.0</v>
      </c>
      <c r="O8" s="41">
        <v>0.9055555555555556</v>
      </c>
      <c r="P8" s="42"/>
      <c r="Q8" s="9"/>
    </row>
    <row r="9" ht="15.75" customHeight="1">
      <c r="C9" s="37"/>
      <c r="D9" s="38"/>
      <c r="E9" s="24"/>
      <c r="F9" s="24"/>
      <c r="G9" s="25">
        <v>-1.0</v>
      </c>
      <c r="H9" s="13">
        <v>-8.0</v>
      </c>
      <c r="I9" s="13" t="s">
        <v>371</v>
      </c>
      <c r="J9" s="32" t="s">
        <v>60</v>
      </c>
      <c r="K9" s="29">
        <v>46859.59</v>
      </c>
      <c r="L9" s="39">
        <v>46792.51</v>
      </c>
      <c r="M9" s="29" t="s">
        <v>375</v>
      </c>
      <c r="N9" s="40">
        <v>45951.0</v>
      </c>
      <c r="O9" s="41">
        <v>0.9069444444444444</v>
      </c>
      <c r="P9" s="42"/>
    </row>
    <row r="10" ht="15.75" customHeight="1">
      <c r="C10" s="37"/>
      <c r="D10" s="38"/>
      <c r="E10" s="24"/>
      <c r="F10" s="24"/>
      <c r="G10" s="25">
        <v>-1.0</v>
      </c>
      <c r="H10" s="13">
        <v>-3.29</v>
      </c>
      <c r="I10" s="13" t="s">
        <v>371</v>
      </c>
      <c r="J10" s="29" t="s">
        <v>372</v>
      </c>
      <c r="K10" s="29">
        <v>25136.42</v>
      </c>
      <c r="L10" s="31">
        <v>25160.74</v>
      </c>
      <c r="M10" s="32" t="s">
        <v>374</v>
      </c>
      <c r="N10" s="33">
        <v>45951.0</v>
      </c>
      <c r="O10" s="41">
        <v>0.8972222222222223</v>
      </c>
      <c r="P10" s="42"/>
    </row>
    <row r="11" ht="15.75" customHeight="1">
      <c r="C11" s="37"/>
      <c r="D11" s="38"/>
      <c r="E11" s="24"/>
      <c r="F11" s="24"/>
      <c r="G11" s="25">
        <v>0.5</v>
      </c>
      <c r="H11" s="13">
        <v>4.1</v>
      </c>
      <c r="I11" s="13" t="s">
        <v>371</v>
      </c>
      <c r="J11" s="32" t="s">
        <v>60</v>
      </c>
      <c r="K11" s="29">
        <v>46932.99</v>
      </c>
      <c r="L11" s="39">
        <v>46948.22</v>
      </c>
      <c r="M11" s="29" t="s">
        <v>377</v>
      </c>
      <c r="N11" s="40">
        <v>45952.0</v>
      </c>
      <c r="O11" s="41">
        <v>0.8965277777777778</v>
      </c>
      <c r="P11" s="42"/>
    </row>
    <row r="12" ht="15.75" customHeight="1">
      <c r="C12" s="43"/>
      <c r="D12" s="38"/>
      <c r="E12" s="24"/>
      <c r="F12" s="24"/>
      <c r="G12" s="25">
        <v>-1.0</v>
      </c>
      <c r="H12" s="13">
        <v>-6.0</v>
      </c>
      <c r="I12" s="99" t="s">
        <v>371</v>
      </c>
      <c r="J12" s="29" t="s">
        <v>372</v>
      </c>
      <c r="K12" s="99">
        <v>25068.33</v>
      </c>
      <c r="L12" s="100">
        <v>25087.68</v>
      </c>
      <c r="M12" s="99" t="s">
        <v>378</v>
      </c>
      <c r="N12" s="101">
        <v>45952.0</v>
      </c>
      <c r="O12" s="102">
        <v>0.8979166666666667</v>
      </c>
      <c r="P12" s="99" t="s">
        <v>379</v>
      </c>
      <c r="Q12" s="9"/>
    </row>
    <row r="13" ht="15.75" customHeight="1">
      <c r="A13" s="21" t="s">
        <v>380</v>
      </c>
      <c r="B13" s="22"/>
      <c r="C13" s="103">
        <f>SUM(H13:H20)</f>
        <v>21.61</v>
      </c>
      <c r="D13" s="38"/>
      <c r="E13" s="24"/>
      <c r="F13" s="24"/>
      <c r="G13" s="25">
        <v>1.5</v>
      </c>
      <c r="H13" s="25">
        <v>13.5</v>
      </c>
      <c r="I13" s="25" t="s">
        <v>371</v>
      </c>
      <c r="J13" s="32" t="s">
        <v>60</v>
      </c>
      <c r="K13" s="3">
        <v>46618.75</v>
      </c>
      <c r="L13" s="104">
        <v>46602.19</v>
      </c>
      <c r="M13" s="25" t="s">
        <v>381</v>
      </c>
      <c r="N13" s="50">
        <v>45953.0</v>
      </c>
      <c r="O13" s="105">
        <v>0.8965277777777778</v>
      </c>
      <c r="P13" s="24"/>
    </row>
    <row r="14" ht="15.75" customHeight="1">
      <c r="A14" s="35" t="s">
        <v>73</v>
      </c>
      <c r="B14" s="36">
        <v>250.0</v>
      </c>
      <c r="C14" s="37"/>
      <c r="D14" s="38"/>
      <c r="E14" s="24"/>
      <c r="F14" s="24"/>
      <c r="G14" s="25">
        <v>3.0</v>
      </c>
      <c r="H14" s="13">
        <v>10.0</v>
      </c>
      <c r="I14" s="13" t="s">
        <v>371</v>
      </c>
      <c r="J14" s="29" t="s">
        <v>372</v>
      </c>
      <c r="K14" s="13">
        <v>24903.54</v>
      </c>
      <c r="L14" s="45">
        <v>24886.17</v>
      </c>
      <c r="M14" s="13" t="s">
        <v>382</v>
      </c>
      <c r="N14" s="50">
        <v>45953.0</v>
      </c>
      <c r="O14" s="46">
        <v>0.8979166666666667</v>
      </c>
      <c r="P14" s="38"/>
      <c r="Q14" s="9"/>
    </row>
    <row r="15" ht="15.75" customHeight="1">
      <c r="A15" s="35" t="s">
        <v>112</v>
      </c>
      <c r="B15" s="15">
        <f>C13-B14</f>
        <v>-228.39</v>
      </c>
      <c r="C15" s="37"/>
      <c r="D15" s="38"/>
      <c r="E15" s="24"/>
      <c r="F15" s="24"/>
      <c r="G15" s="25">
        <v>-1.0</v>
      </c>
      <c r="H15" s="13">
        <v>-6.33</v>
      </c>
      <c r="I15" s="13" t="s">
        <v>371</v>
      </c>
      <c r="J15" s="32" t="s">
        <v>60</v>
      </c>
      <c r="K15" s="3">
        <v>46618.75</v>
      </c>
      <c r="L15" s="104">
        <v>46602.19</v>
      </c>
      <c r="M15" s="25" t="s">
        <v>381</v>
      </c>
      <c r="N15" s="50">
        <v>45954.0</v>
      </c>
      <c r="O15" s="46">
        <v>0.8958333333333334</v>
      </c>
      <c r="P15" s="38"/>
    </row>
    <row r="16" ht="15.75" customHeight="1">
      <c r="C16" s="37"/>
      <c r="D16" s="38"/>
      <c r="E16" s="24"/>
      <c r="F16" s="24"/>
      <c r="G16" s="13">
        <v>-1.0</v>
      </c>
      <c r="H16" s="13">
        <v>-3.24</v>
      </c>
      <c r="I16" s="13" t="s">
        <v>371</v>
      </c>
      <c r="J16" s="29" t="s">
        <v>372</v>
      </c>
      <c r="K16" s="13">
        <v>25319.83</v>
      </c>
      <c r="L16" s="45">
        <v>25326.82</v>
      </c>
      <c r="M16" s="13" t="s">
        <v>383</v>
      </c>
      <c r="N16" s="50">
        <v>45954.0</v>
      </c>
      <c r="O16" s="46">
        <v>0.8965277777777778</v>
      </c>
      <c r="P16" s="109"/>
    </row>
    <row r="17" ht="15.75" customHeight="1">
      <c r="C17" s="37"/>
      <c r="D17" s="38"/>
      <c r="E17" s="24"/>
      <c r="F17" s="24"/>
      <c r="G17" s="13">
        <v>1.0</v>
      </c>
      <c r="H17" s="13">
        <v>8.0</v>
      </c>
      <c r="I17" s="13" t="s">
        <v>371</v>
      </c>
      <c r="J17" s="32" t="s">
        <v>60</v>
      </c>
      <c r="K17" s="13">
        <v>47044.41</v>
      </c>
      <c r="L17" s="45">
        <v>47019.97</v>
      </c>
      <c r="M17" s="13" t="s">
        <v>385</v>
      </c>
      <c r="N17" s="50">
        <v>45954.0</v>
      </c>
      <c r="O17" s="46">
        <v>0.8993055555555556</v>
      </c>
      <c r="P17" s="13" t="s">
        <v>386</v>
      </c>
      <c r="Q17" s="9"/>
    </row>
    <row r="18" ht="15.75" customHeight="1">
      <c r="C18" s="37"/>
      <c r="D18" s="38"/>
      <c r="E18" s="24"/>
      <c r="F18" s="24"/>
      <c r="G18" s="13">
        <v>1.5</v>
      </c>
      <c r="H18" s="13">
        <v>4.21</v>
      </c>
      <c r="I18" s="13" t="s">
        <v>371</v>
      </c>
      <c r="J18" s="29" t="s">
        <v>372</v>
      </c>
      <c r="K18" s="13">
        <v>25365.66</v>
      </c>
      <c r="L18" s="45">
        <v>25341.54</v>
      </c>
      <c r="M18" s="38"/>
      <c r="N18" s="50">
        <v>45954.0</v>
      </c>
      <c r="O18" s="46">
        <v>0.8993055555555556</v>
      </c>
      <c r="P18" s="13" t="s">
        <v>386</v>
      </c>
    </row>
    <row r="19" ht="15.75" customHeight="1">
      <c r="C19" s="110"/>
      <c r="D19" s="111"/>
      <c r="E19" s="24"/>
      <c r="F19" s="24"/>
      <c r="G19" s="111"/>
      <c r="H19" s="111"/>
      <c r="I19" s="111"/>
      <c r="J19" s="111"/>
      <c r="K19" s="111"/>
      <c r="L19" s="112"/>
      <c r="M19" s="111"/>
      <c r="N19" s="111"/>
      <c r="O19" s="111"/>
      <c r="P19" s="111"/>
      <c r="Q19" s="9"/>
    </row>
    <row r="20" ht="15.75" customHeight="1">
      <c r="A20" s="21" t="s">
        <v>388</v>
      </c>
      <c r="B20" s="22"/>
      <c r="C20" s="114">
        <f>SUM(H20:H32)</f>
        <v>-1.93</v>
      </c>
      <c r="D20" s="116"/>
      <c r="E20" s="24"/>
      <c r="F20" s="24"/>
      <c r="G20" s="117">
        <v>-0.5</v>
      </c>
      <c r="H20" s="25">
        <v>-4.53</v>
      </c>
      <c r="I20" s="25" t="s">
        <v>371</v>
      </c>
      <c r="J20" s="32" t="s">
        <v>60</v>
      </c>
      <c r="K20" s="3">
        <v>47494.05</v>
      </c>
      <c r="L20" s="104">
        <v>47510.83</v>
      </c>
      <c r="M20" s="25" t="s">
        <v>389</v>
      </c>
      <c r="N20" s="118">
        <v>45957.0</v>
      </c>
      <c r="O20" s="105">
        <v>0.8972222222222223</v>
      </c>
      <c r="P20" s="116"/>
      <c r="Q20" s="9"/>
    </row>
    <row r="21" ht="15.75" customHeight="1">
      <c r="A21" s="35" t="s">
        <v>73</v>
      </c>
      <c r="B21" s="36">
        <v>350.0</v>
      </c>
      <c r="C21" s="119"/>
      <c r="D21" s="24"/>
      <c r="E21" s="24"/>
      <c r="F21" s="24"/>
      <c r="G21" s="13">
        <v>-1.0</v>
      </c>
      <c r="H21" s="13">
        <v>-4.19</v>
      </c>
      <c r="I21" s="13" t="s">
        <v>371</v>
      </c>
      <c r="J21" s="29" t="s">
        <v>372</v>
      </c>
      <c r="K21" s="13">
        <v>25693.37</v>
      </c>
      <c r="L21" s="45">
        <v>25703.51</v>
      </c>
      <c r="M21" s="13">
        <v>25653.78</v>
      </c>
      <c r="N21" s="118">
        <v>45957.0</v>
      </c>
      <c r="O21" s="46">
        <v>0.9</v>
      </c>
      <c r="P21" s="24"/>
    </row>
    <row r="22" ht="15.75" customHeight="1">
      <c r="A22" s="35" t="s">
        <v>112</v>
      </c>
      <c r="B22" s="15">
        <f>C20-B21</f>
        <v>-351.93</v>
      </c>
      <c r="C22" s="119"/>
      <c r="D22" s="24"/>
      <c r="E22" s="24"/>
      <c r="F22" s="24"/>
      <c r="G22" s="13">
        <v>-1.0</v>
      </c>
      <c r="H22" s="13">
        <v>-3.69</v>
      </c>
      <c r="I22" s="13" t="s">
        <v>391</v>
      </c>
      <c r="J22" s="29" t="s">
        <v>372</v>
      </c>
      <c r="K22" s="13">
        <v>25734.55</v>
      </c>
      <c r="L22" s="45">
        <v>25719.3</v>
      </c>
      <c r="M22" s="38"/>
      <c r="N22" s="118">
        <v>45957.0</v>
      </c>
      <c r="O22" s="46">
        <v>0.8965277777777778</v>
      </c>
      <c r="P22" s="13" t="s">
        <v>392</v>
      </c>
      <c r="Q22" s="9"/>
    </row>
    <row r="23" ht="15.75" customHeight="1">
      <c r="C23" s="119"/>
      <c r="D23" s="24"/>
      <c r="E23" s="24"/>
      <c r="F23" s="24"/>
      <c r="G23" s="13">
        <v>1.0</v>
      </c>
      <c r="H23" s="13">
        <v>-9.73</v>
      </c>
      <c r="I23" s="25" t="s">
        <v>371</v>
      </c>
      <c r="J23" s="32" t="s">
        <v>60</v>
      </c>
      <c r="K23" s="3">
        <v>47494.05</v>
      </c>
      <c r="L23" s="104">
        <v>47510.83</v>
      </c>
      <c r="M23" s="25" t="s">
        <v>389</v>
      </c>
      <c r="N23" s="118">
        <v>45957.0</v>
      </c>
      <c r="O23" s="46">
        <v>0.9034722222222222</v>
      </c>
      <c r="P23" s="38"/>
    </row>
    <row r="24" ht="40.5" customHeight="1">
      <c r="C24" s="119"/>
      <c r="D24" s="24"/>
      <c r="E24" s="24"/>
      <c r="F24" s="24"/>
      <c r="G24" s="13">
        <v>1.5</v>
      </c>
      <c r="H24" s="13">
        <v>10.2</v>
      </c>
      <c r="I24" s="13" t="s">
        <v>371</v>
      </c>
      <c r="J24" s="13" t="s">
        <v>60</v>
      </c>
      <c r="K24" s="13">
        <v>47842.1</v>
      </c>
      <c r="L24" s="45">
        <v>47892.48</v>
      </c>
      <c r="M24" s="13" t="s">
        <v>394</v>
      </c>
      <c r="N24" s="50">
        <v>45958.0</v>
      </c>
      <c r="O24" s="46">
        <v>0.9013888888888889</v>
      </c>
      <c r="P24" s="13" t="s">
        <v>396</v>
      </c>
      <c r="Q24" s="9"/>
    </row>
    <row r="25" ht="15.75" customHeight="1">
      <c r="C25" s="119"/>
      <c r="D25" s="24"/>
      <c r="E25" s="24"/>
      <c r="F25" s="24"/>
      <c r="G25" s="13">
        <v>0.5</v>
      </c>
      <c r="H25" s="13">
        <v>6.4</v>
      </c>
      <c r="I25" s="13"/>
      <c r="J25" s="13" t="s">
        <v>60</v>
      </c>
      <c r="K25" s="13">
        <v>47533.45</v>
      </c>
      <c r="L25" s="45">
        <v>47508.98</v>
      </c>
      <c r="M25" s="13" t="s">
        <v>397</v>
      </c>
      <c r="N25" s="50">
        <v>45960.0</v>
      </c>
      <c r="O25" s="46">
        <v>0.8965277777777778</v>
      </c>
      <c r="P25" s="13" t="s">
        <v>398</v>
      </c>
    </row>
    <row r="26" ht="15.75" customHeight="1">
      <c r="C26" s="119"/>
      <c r="D26" s="24"/>
      <c r="E26" s="24"/>
      <c r="F26" s="24"/>
      <c r="G26" s="13">
        <v>1.5</v>
      </c>
      <c r="H26" s="13">
        <v>4.06</v>
      </c>
      <c r="I26" s="13"/>
      <c r="J26" s="13" t="s">
        <v>22</v>
      </c>
      <c r="K26" s="13">
        <v>25935.64</v>
      </c>
      <c r="L26" s="45">
        <v>25969.4</v>
      </c>
      <c r="M26" s="13" t="s">
        <v>399</v>
      </c>
      <c r="N26" s="50">
        <v>45960.0</v>
      </c>
      <c r="O26" s="46">
        <v>0.8993055555555556</v>
      </c>
      <c r="P26" s="13" t="s">
        <v>398</v>
      </c>
      <c r="Q26" s="9"/>
    </row>
    <row r="27" ht="15.75" customHeight="1">
      <c r="C27" s="119"/>
      <c r="D27" s="24"/>
      <c r="E27" s="38"/>
      <c r="F27" s="24"/>
      <c r="G27" s="13">
        <v>-1.0</v>
      </c>
      <c r="H27" s="13">
        <v>-7.61</v>
      </c>
      <c r="I27" s="38"/>
      <c r="J27" s="13" t="s">
        <v>60</v>
      </c>
      <c r="K27" s="13">
        <v>47566.71</v>
      </c>
      <c r="L27" s="45">
        <v>47604.12</v>
      </c>
      <c r="M27" s="13" t="s">
        <v>400</v>
      </c>
      <c r="N27" s="50">
        <v>45961.0</v>
      </c>
      <c r="O27" s="46">
        <v>0.9041666666666667</v>
      </c>
      <c r="P27" s="38"/>
    </row>
    <row r="28" ht="15.75" customHeight="1">
      <c r="C28" s="119"/>
      <c r="D28" s="24"/>
      <c r="E28" s="38"/>
      <c r="F28" s="24"/>
      <c r="G28" s="13">
        <v>3.0</v>
      </c>
      <c r="H28" s="13">
        <v>10.1</v>
      </c>
      <c r="I28" s="13" t="s">
        <v>59</v>
      </c>
      <c r="J28" s="13" t="s">
        <v>22</v>
      </c>
      <c r="K28" s="13">
        <v>26053.65</v>
      </c>
      <c r="L28" s="45">
        <v>26070.74</v>
      </c>
      <c r="M28" s="13" t="s">
        <v>401</v>
      </c>
      <c r="N28" s="50">
        <v>45961.0</v>
      </c>
      <c r="O28" s="46">
        <v>0.8979166666666667</v>
      </c>
      <c r="P28" s="38"/>
    </row>
    <row r="29" ht="15.75" customHeight="1">
      <c r="C29" s="119"/>
      <c r="D29" s="24"/>
      <c r="E29" s="38"/>
      <c r="F29" s="24"/>
      <c r="G29" s="13">
        <v>-1.0</v>
      </c>
      <c r="H29" s="13">
        <v>-2.94</v>
      </c>
      <c r="I29" s="13" t="s">
        <v>59</v>
      </c>
      <c r="J29" s="13" t="s">
        <v>22</v>
      </c>
      <c r="K29" s="13">
        <v>26053.65</v>
      </c>
      <c r="L29" s="45">
        <v>26070.3</v>
      </c>
      <c r="M29" s="13" t="s">
        <v>401</v>
      </c>
      <c r="N29" s="123">
        <v>45961.0</v>
      </c>
      <c r="O29" s="124">
        <v>0.8972222222222223</v>
      </c>
      <c r="P29" s="109"/>
    </row>
    <row r="30" ht="15.75" customHeight="1">
      <c r="C30" s="119"/>
      <c r="D30" s="24"/>
      <c r="E30" s="38"/>
      <c r="F30" s="24"/>
      <c r="G30" s="38"/>
      <c r="H30" s="38"/>
      <c r="I30" s="38"/>
      <c r="J30" s="38"/>
      <c r="K30" s="38"/>
      <c r="L30" s="55"/>
      <c r="M30" s="38"/>
      <c r="N30" s="38"/>
      <c r="O30" s="38"/>
      <c r="P30" s="38"/>
    </row>
    <row r="31" ht="15.75" customHeight="1">
      <c r="C31" s="119"/>
      <c r="D31" s="24"/>
      <c r="E31" s="38"/>
      <c r="F31" s="24"/>
      <c r="G31" s="38"/>
      <c r="H31" s="38"/>
      <c r="I31" s="38"/>
      <c r="J31" s="38"/>
      <c r="K31" s="38"/>
      <c r="L31" s="55"/>
      <c r="M31" s="38"/>
      <c r="N31" s="38"/>
      <c r="O31" s="38"/>
      <c r="P31" s="38"/>
    </row>
    <row r="32" ht="15.75" customHeight="1">
      <c r="C32" s="119"/>
      <c r="D32" s="24"/>
      <c r="E32" s="38"/>
      <c r="F32" s="24"/>
      <c r="G32" s="38"/>
      <c r="H32" s="38"/>
      <c r="I32" s="38"/>
      <c r="J32" s="38"/>
      <c r="K32" s="38"/>
      <c r="L32" s="55"/>
      <c r="M32" s="38"/>
      <c r="N32" s="38"/>
      <c r="O32" s="38"/>
      <c r="P32" s="38"/>
    </row>
    <row r="33" ht="15.75" customHeight="1">
      <c r="C33" s="119"/>
      <c r="D33" s="24"/>
      <c r="E33" s="38"/>
      <c r="F33" s="24"/>
      <c r="G33" s="38"/>
      <c r="H33" s="38"/>
      <c r="I33" s="38"/>
      <c r="J33" s="38"/>
      <c r="K33" s="38"/>
      <c r="L33" s="55"/>
      <c r="M33" s="38"/>
      <c r="N33" s="38"/>
      <c r="O33" s="38"/>
      <c r="P33" s="38"/>
      <c r="Q33" s="9"/>
    </row>
    <row r="34" ht="15.75" customHeight="1">
      <c r="C34" s="125"/>
      <c r="D34" s="126"/>
      <c r="E34" s="127"/>
      <c r="F34" s="126"/>
      <c r="G34" s="111"/>
      <c r="H34" s="38"/>
      <c r="I34" s="111"/>
      <c r="J34" s="111"/>
      <c r="K34" s="111"/>
      <c r="L34" s="112"/>
      <c r="M34" s="111"/>
      <c r="N34" s="111"/>
      <c r="O34" s="111"/>
      <c r="P34" s="111"/>
    </row>
    <row r="35" ht="15.75" customHeight="1">
      <c r="A35" s="21" t="s">
        <v>402</v>
      </c>
      <c r="B35" s="22"/>
      <c r="C35" s="114">
        <f>SUM(H35:H47)</f>
        <v>-39.53</v>
      </c>
      <c r="D35" s="38"/>
      <c r="E35" s="38"/>
      <c r="F35" s="38"/>
      <c r="G35" s="25">
        <v>0.0</v>
      </c>
      <c r="H35" s="13">
        <v>-1.01</v>
      </c>
      <c r="I35" s="13"/>
      <c r="J35" s="13" t="s">
        <v>60</v>
      </c>
      <c r="K35" s="13">
        <v>47611.01</v>
      </c>
      <c r="L35" s="45">
        <v>47508.98</v>
      </c>
      <c r="M35" s="13" t="s">
        <v>403</v>
      </c>
      <c r="N35" s="50">
        <v>45964.0</v>
      </c>
      <c r="O35" s="46">
        <v>0.8993055555555556</v>
      </c>
      <c r="P35" s="25" t="s">
        <v>404</v>
      </c>
    </row>
    <row r="36" ht="15.75" customHeight="1">
      <c r="A36" s="35" t="s">
        <v>73</v>
      </c>
      <c r="B36" s="36">
        <v>250.0</v>
      </c>
      <c r="C36" s="119"/>
      <c r="D36" s="38"/>
      <c r="E36" s="24"/>
      <c r="F36" s="38"/>
      <c r="G36" s="13">
        <v>0.0</v>
      </c>
      <c r="H36" s="13">
        <v>1.31</v>
      </c>
      <c r="I36" s="13" t="s">
        <v>59</v>
      </c>
      <c r="J36" s="13" t="s">
        <v>22</v>
      </c>
      <c r="K36" s="13">
        <v>26068.52</v>
      </c>
      <c r="L36" s="45">
        <v>25969.4</v>
      </c>
      <c r="M36" s="13" t="s">
        <v>405</v>
      </c>
      <c r="N36" s="50">
        <v>45964.0</v>
      </c>
      <c r="O36" s="46">
        <v>0.8979166666666667</v>
      </c>
      <c r="P36" s="13" t="s">
        <v>406</v>
      </c>
      <c r="Q36" s="9"/>
    </row>
    <row r="37" ht="15.75" customHeight="1">
      <c r="A37" s="35" t="s">
        <v>112</v>
      </c>
      <c r="B37" s="15">
        <f>C35-B36</f>
        <v>-289.53</v>
      </c>
      <c r="C37" s="119"/>
      <c r="D37" s="38"/>
      <c r="E37" s="38"/>
      <c r="F37" s="38"/>
      <c r="G37" s="13">
        <v>-1.0</v>
      </c>
      <c r="H37" s="13">
        <v>-12.8</v>
      </c>
      <c r="I37" s="13" t="s">
        <v>59</v>
      </c>
      <c r="J37" s="13" t="s">
        <v>60</v>
      </c>
      <c r="K37" s="13">
        <v>47009.56</v>
      </c>
      <c r="L37" s="45">
        <v>47056.0</v>
      </c>
      <c r="M37" s="13" t="s">
        <v>407</v>
      </c>
      <c r="N37" s="50">
        <v>45965.0</v>
      </c>
      <c r="O37" s="46">
        <v>0.9388888888888889</v>
      </c>
      <c r="P37" s="13" t="s">
        <v>408</v>
      </c>
      <c r="Q37" s="9"/>
    </row>
    <row r="38" ht="15.75" customHeight="1">
      <c r="C38" s="119"/>
      <c r="D38" s="38"/>
      <c r="E38" s="38"/>
      <c r="F38" s="38"/>
      <c r="G38" s="13">
        <v>-1.0</v>
      </c>
      <c r="H38" s="13">
        <v>-12.09</v>
      </c>
      <c r="I38" s="13" t="s">
        <v>59</v>
      </c>
      <c r="J38" s="13" t="s">
        <v>22</v>
      </c>
      <c r="K38" s="13">
        <v>25594.2</v>
      </c>
      <c r="L38" s="45">
        <v>25628.94</v>
      </c>
      <c r="M38" s="13">
        <v>25432.4</v>
      </c>
      <c r="N38" s="50">
        <v>45965.0</v>
      </c>
      <c r="O38" s="46">
        <v>0.9402777777777778</v>
      </c>
      <c r="P38" s="13" t="s">
        <v>410</v>
      </c>
    </row>
    <row r="39" ht="15.75" customHeight="1">
      <c r="C39" s="119"/>
      <c r="D39" s="38"/>
      <c r="E39" s="38"/>
      <c r="F39" s="38"/>
      <c r="G39" s="13">
        <v>-1.0</v>
      </c>
      <c r="H39" s="13">
        <v>-12.4</v>
      </c>
      <c r="I39" s="13" t="s">
        <v>59</v>
      </c>
      <c r="J39" s="13" t="s">
        <v>60</v>
      </c>
      <c r="K39" s="13">
        <v>47123.61</v>
      </c>
      <c r="L39" s="45">
        <v>47156.12</v>
      </c>
      <c r="M39" s="13" t="s">
        <v>411</v>
      </c>
      <c r="N39" s="50">
        <v>45966.0</v>
      </c>
      <c r="O39" s="46">
        <v>0.9451388888888889</v>
      </c>
      <c r="P39" s="38"/>
    </row>
    <row r="40" ht="15.75" customHeight="1">
      <c r="C40" s="119"/>
      <c r="D40" s="38"/>
      <c r="E40" s="38"/>
      <c r="F40" s="38"/>
      <c r="G40" s="13">
        <v>-1.0</v>
      </c>
      <c r="H40" s="3">
        <v>-8.74</v>
      </c>
      <c r="I40" s="13" t="s">
        <v>59</v>
      </c>
      <c r="J40" s="13" t="s">
        <v>22</v>
      </c>
      <c r="K40" s="13">
        <v>25405.31</v>
      </c>
      <c r="L40" s="45">
        <v>25433.31</v>
      </c>
      <c r="M40" s="13" t="s">
        <v>412</v>
      </c>
      <c r="N40" s="50">
        <v>45966.0</v>
      </c>
      <c r="O40" s="46">
        <v>0.9416666666666667</v>
      </c>
      <c r="P40" s="38"/>
    </row>
    <row r="41" ht="15.75" customHeight="1">
      <c r="C41" s="119"/>
      <c r="D41" s="38"/>
      <c r="E41" s="38"/>
      <c r="F41" s="38"/>
      <c r="G41" s="13">
        <v>-1.0</v>
      </c>
      <c r="H41" s="13">
        <v>-5.49</v>
      </c>
      <c r="I41" s="13" t="s">
        <v>59</v>
      </c>
      <c r="J41" s="13" t="s">
        <v>22</v>
      </c>
      <c r="K41" s="13">
        <v>25548.74</v>
      </c>
      <c r="L41" s="45">
        <v>25559.05</v>
      </c>
      <c r="M41" s="13" t="s">
        <v>415</v>
      </c>
      <c r="N41" s="50">
        <v>45967.0</v>
      </c>
      <c r="O41" s="46">
        <v>0.9416666666666667</v>
      </c>
      <c r="P41" s="38"/>
    </row>
    <row r="42" ht="15.75" customHeight="1">
      <c r="C42" s="119"/>
      <c r="D42" s="127"/>
      <c r="E42" s="127"/>
      <c r="F42" s="127"/>
      <c r="G42" s="129">
        <v>-1.0</v>
      </c>
      <c r="H42" s="129">
        <v>-15.6</v>
      </c>
      <c r="I42" s="129" t="s">
        <v>59</v>
      </c>
      <c r="J42" s="129" t="s">
        <v>60</v>
      </c>
      <c r="K42" s="129">
        <v>47399.84</v>
      </c>
      <c r="L42" s="130">
        <v>47318.03</v>
      </c>
      <c r="M42" s="3" t="s">
        <v>416</v>
      </c>
      <c r="N42" s="131">
        <v>45967.0</v>
      </c>
      <c r="O42" s="132">
        <v>0.9388888888888889</v>
      </c>
      <c r="P42" s="129" t="s">
        <v>417</v>
      </c>
    </row>
    <row r="43" ht="15.75" customHeight="1">
      <c r="C43" s="119"/>
      <c r="D43" s="127"/>
      <c r="E43" s="127"/>
      <c r="F43" s="127"/>
      <c r="G43" s="129">
        <v>0.5</v>
      </c>
      <c r="H43" s="129">
        <v>2.31</v>
      </c>
      <c r="I43" s="129" t="s">
        <v>59</v>
      </c>
      <c r="J43" s="129" t="s">
        <v>22</v>
      </c>
      <c r="K43" s="13">
        <v>25548.74</v>
      </c>
      <c r="L43" s="45">
        <v>25559.05</v>
      </c>
      <c r="M43" s="13" t="s">
        <v>415</v>
      </c>
      <c r="N43" s="131">
        <v>45967.0</v>
      </c>
      <c r="O43" s="132">
        <v>0.9451388888888889</v>
      </c>
      <c r="P43" s="127"/>
    </row>
    <row r="44" ht="15.75" customHeight="1">
      <c r="C44" s="119"/>
      <c r="D44" s="127"/>
      <c r="E44" s="127"/>
      <c r="F44" s="127"/>
      <c r="G44" s="129">
        <v>0.5</v>
      </c>
      <c r="H44" s="129">
        <v>5.1</v>
      </c>
      <c r="I44" s="129" t="s">
        <v>59</v>
      </c>
      <c r="J44" s="129" t="s">
        <v>60</v>
      </c>
      <c r="K44" s="129">
        <v>47250.75</v>
      </c>
      <c r="L44" s="130">
        <v>47283.77</v>
      </c>
      <c r="M44" s="129" t="s">
        <v>418</v>
      </c>
      <c r="N44" s="131">
        <v>45967.0</v>
      </c>
      <c r="O44" s="132">
        <v>0.9513888888888888</v>
      </c>
      <c r="P44" s="127"/>
    </row>
    <row r="45" ht="15.75" customHeight="1">
      <c r="C45" s="119"/>
      <c r="D45" s="127"/>
      <c r="E45" s="127"/>
      <c r="F45" s="127"/>
      <c r="G45" s="129">
        <v>1.5</v>
      </c>
      <c r="H45" s="129">
        <v>14.1</v>
      </c>
      <c r="I45" s="129" t="s">
        <v>59</v>
      </c>
      <c r="J45" s="129" t="s">
        <v>60</v>
      </c>
      <c r="K45" s="129">
        <v>47250.75</v>
      </c>
      <c r="L45" s="130">
        <v>47283.77</v>
      </c>
      <c r="M45" s="129" t="s">
        <v>418</v>
      </c>
      <c r="N45" s="131">
        <v>45967.0</v>
      </c>
      <c r="O45" s="132">
        <v>0.9513888888888888</v>
      </c>
      <c r="P45" s="127"/>
    </row>
    <row r="46" ht="15.75" customHeight="1">
      <c r="C46" s="119"/>
      <c r="D46" s="127"/>
      <c r="E46" s="127"/>
      <c r="F46" s="127"/>
      <c r="G46" s="129">
        <v>1.5</v>
      </c>
      <c r="H46" s="129">
        <v>4.28</v>
      </c>
      <c r="I46" s="129" t="s">
        <v>59</v>
      </c>
      <c r="J46" s="129" t="s">
        <v>22</v>
      </c>
      <c r="K46" s="129">
        <v>24973.38</v>
      </c>
      <c r="L46" s="130">
        <v>25005.11</v>
      </c>
      <c r="M46" s="129" t="s">
        <v>420</v>
      </c>
      <c r="N46" s="131">
        <v>45968.0</v>
      </c>
      <c r="O46" s="132">
        <v>0.9409722222222222</v>
      </c>
      <c r="P46" s="127"/>
    </row>
    <row r="47" ht="15.75" customHeight="1">
      <c r="C47" s="125"/>
      <c r="D47" s="111"/>
      <c r="E47" s="111"/>
      <c r="F47" s="111"/>
      <c r="G47" s="99">
        <v>0.0</v>
      </c>
      <c r="H47" s="99">
        <v>1.5</v>
      </c>
      <c r="I47" s="99" t="s">
        <v>59</v>
      </c>
      <c r="J47" s="99" t="s">
        <v>60</v>
      </c>
      <c r="K47" s="99">
        <v>46778.77</v>
      </c>
      <c r="L47" s="100">
        <v>46805.21</v>
      </c>
      <c r="M47" s="99" t="s">
        <v>421</v>
      </c>
      <c r="N47" s="133">
        <v>45968.0</v>
      </c>
      <c r="O47" s="102">
        <v>0.9381944444444444</v>
      </c>
      <c r="P47" s="111"/>
    </row>
    <row r="48" ht="15.75" customHeight="1">
      <c r="A48" s="21" t="s">
        <v>422</v>
      </c>
      <c r="B48" s="22"/>
      <c r="C48" s="114">
        <f>SUM(H48:H63)</f>
        <v>22.69</v>
      </c>
      <c r="D48" s="24"/>
      <c r="E48" s="24"/>
      <c r="F48" s="24"/>
      <c r="G48" s="25">
        <v>0.5</v>
      </c>
      <c r="H48" s="13">
        <v>6.4</v>
      </c>
      <c r="I48" s="13" t="s">
        <v>59</v>
      </c>
      <c r="J48" s="13" t="s">
        <v>60</v>
      </c>
      <c r="K48" s="13">
        <v>47279.17</v>
      </c>
      <c r="L48" s="45">
        <v>47239.59</v>
      </c>
      <c r="M48" s="13" t="s">
        <v>424</v>
      </c>
      <c r="N48" s="50">
        <v>45971.0</v>
      </c>
      <c r="O48" s="46">
        <v>0.9381944444444444</v>
      </c>
      <c r="P48" s="25" t="s">
        <v>425</v>
      </c>
    </row>
    <row r="49" ht="15.75" customHeight="1">
      <c r="A49" s="35" t="s">
        <v>73</v>
      </c>
      <c r="B49" s="36">
        <v>500.0</v>
      </c>
      <c r="C49" s="119"/>
      <c r="D49" s="24"/>
      <c r="E49" s="38"/>
      <c r="F49" s="24"/>
      <c r="G49" s="13">
        <v>0.5</v>
      </c>
      <c r="H49" s="13">
        <v>2.41</v>
      </c>
      <c r="I49" s="13" t="s">
        <v>59</v>
      </c>
      <c r="J49" s="13" t="s">
        <v>22</v>
      </c>
      <c r="K49" s="13">
        <v>25516.2</v>
      </c>
      <c r="L49" s="45">
        <v>25495.95</v>
      </c>
      <c r="M49" s="13" t="s">
        <v>426</v>
      </c>
      <c r="N49" s="50">
        <v>45971.0</v>
      </c>
      <c r="O49" s="46">
        <v>0.9395833333333333</v>
      </c>
      <c r="P49" s="25"/>
    </row>
    <row r="50" ht="15.75" customHeight="1">
      <c r="A50" s="35" t="s">
        <v>112</v>
      </c>
      <c r="B50" s="15">
        <f>C48-B49</f>
        <v>-477.31</v>
      </c>
      <c r="C50" s="119"/>
      <c r="D50" s="24"/>
      <c r="E50" s="38"/>
      <c r="F50" s="24"/>
      <c r="G50" s="13">
        <v>-1.0</v>
      </c>
      <c r="H50" s="13">
        <v>-6.64</v>
      </c>
      <c r="I50" s="13" t="s">
        <v>59</v>
      </c>
      <c r="J50" s="13" t="s">
        <v>22</v>
      </c>
      <c r="K50" s="129">
        <v>255575.66</v>
      </c>
      <c r="L50" s="130">
        <v>25549.72</v>
      </c>
      <c r="M50" s="127"/>
      <c r="N50" s="131">
        <v>45972.0</v>
      </c>
      <c r="O50" s="132">
        <v>0.9423611111111111</v>
      </c>
      <c r="P50" s="134" t="s">
        <v>427</v>
      </c>
    </row>
    <row r="51" ht="15.75" customHeight="1">
      <c r="A51" s="135"/>
      <c r="B51" s="135"/>
      <c r="C51" s="119"/>
      <c r="D51" s="24"/>
      <c r="E51" s="38"/>
      <c r="F51" s="24"/>
      <c r="G51" s="13">
        <v>1.5</v>
      </c>
      <c r="H51" s="13">
        <v>12.4</v>
      </c>
      <c r="I51" s="13"/>
      <c r="J51" s="13" t="s">
        <v>60</v>
      </c>
      <c r="K51" s="13">
        <v>46984.44</v>
      </c>
      <c r="L51" s="45">
        <v>47034.42</v>
      </c>
      <c r="M51" s="13" t="s">
        <v>428</v>
      </c>
      <c r="N51" s="50">
        <v>45975.0</v>
      </c>
      <c r="O51" s="136">
        <v>0.9395833333333333</v>
      </c>
      <c r="P51" s="38"/>
    </row>
    <row r="52" ht="15.75" customHeight="1">
      <c r="A52" s="135"/>
      <c r="B52" s="135"/>
      <c r="C52" s="119"/>
      <c r="D52" s="24"/>
      <c r="E52" s="38"/>
      <c r="F52" s="24"/>
      <c r="G52" s="13">
        <v>1.5</v>
      </c>
      <c r="H52" s="13">
        <v>8.12</v>
      </c>
      <c r="I52" s="13"/>
      <c r="J52" s="13" t="s">
        <v>22</v>
      </c>
      <c r="K52" s="13">
        <v>24738.37</v>
      </c>
      <c r="L52" s="45">
        <v>24702.63</v>
      </c>
      <c r="M52" s="13">
        <v>24873.08</v>
      </c>
      <c r="N52" s="50">
        <v>45975.0</v>
      </c>
      <c r="O52" s="46">
        <v>0.9423611111111111</v>
      </c>
      <c r="P52" s="38"/>
    </row>
    <row r="53" ht="15.75" customHeight="1">
      <c r="A53" s="135"/>
      <c r="B53" s="135"/>
      <c r="C53" s="119"/>
      <c r="D53" s="24"/>
      <c r="E53" s="38"/>
      <c r="F53" s="24"/>
      <c r="G53" s="38"/>
      <c r="H53" s="38"/>
      <c r="I53" s="38"/>
      <c r="J53" s="137"/>
      <c r="K53" s="137"/>
      <c r="L53" s="138"/>
      <c r="M53" s="137"/>
      <c r="N53" s="137"/>
      <c r="O53" s="137"/>
      <c r="P53" s="139"/>
    </row>
    <row r="54" ht="15.75" customHeight="1">
      <c r="A54" s="135"/>
      <c r="B54" s="135"/>
      <c r="C54" s="119"/>
      <c r="D54" s="24"/>
      <c r="E54" s="38"/>
      <c r="F54" s="24"/>
      <c r="G54" s="38"/>
      <c r="H54" s="38"/>
      <c r="I54" s="38"/>
      <c r="J54" s="137"/>
      <c r="K54" s="137"/>
      <c r="L54" s="138"/>
      <c r="M54" s="137"/>
      <c r="N54" s="137"/>
      <c r="O54" s="137"/>
      <c r="P54" s="37"/>
    </row>
    <row r="55" ht="15.75" customHeight="1">
      <c r="A55" s="135"/>
      <c r="B55" s="135"/>
      <c r="C55" s="119"/>
      <c r="D55" s="24"/>
      <c r="E55" s="38"/>
      <c r="F55" s="24"/>
      <c r="G55" s="38"/>
      <c r="H55" s="38"/>
      <c r="I55" s="38"/>
      <c r="J55" s="137"/>
      <c r="K55" s="137"/>
      <c r="L55" s="138"/>
      <c r="M55" s="137"/>
      <c r="N55" s="137"/>
      <c r="O55" s="137"/>
      <c r="P55" s="37"/>
    </row>
    <row r="56" ht="15.75" customHeight="1">
      <c r="A56" s="135"/>
      <c r="B56" s="135"/>
      <c r="C56" s="119"/>
      <c r="D56" s="24"/>
      <c r="E56" s="38"/>
      <c r="F56" s="24"/>
      <c r="G56" s="38"/>
      <c r="H56" s="38"/>
      <c r="I56" s="38"/>
      <c r="J56" s="137"/>
      <c r="K56" s="137"/>
      <c r="L56" s="138"/>
      <c r="M56" s="137"/>
      <c r="N56" s="137"/>
      <c r="O56" s="137"/>
      <c r="P56" s="37"/>
    </row>
    <row r="57" ht="15.75" customHeight="1">
      <c r="A57" s="135"/>
      <c r="B57" s="135"/>
      <c r="C57" s="119"/>
      <c r="D57" s="24"/>
      <c r="E57" s="38"/>
      <c r="F57" s="24"/>
      <c r="G57" s="38"/>
      <c r="H57" s="38"/>
      <c r="I57" s="38"/>
      <c r="J57" s="137"/>
      <c r="K57" s="137"/>
      <c r="L57" s="138"/>
      <c r="M57" s="137"/>
      <c r="N57" s="137"/>
      <c r="O57" s="137"/>
      <c r="P57" s="37"/>
    </row>
    <row r="58" ht="15.75" customHeight="1">
      <c r="A58" s="135"/>
      <c r="B58" s="135"/>
      <c r="C58" s="119"/>
      <c r="D58" s="24"/>
      <c r="E58" s="38"/>
      <c r="F58" s="24"/>
      <c r="G58" s="38"/>
      <c r="H58" s="38"/>
      <c r="I58" s="38"/>
      <c r="J58" s="137"/>
      <c r="K58" s="137"/>
      <c r="L58" s="138"/>
      <c r="M58" s="137"/>
      <c r="N58" s="137"/>
      <c r="O58" s="137"/>
      <c r="P58" s="110"/>
    </row>
    <row r="59" ht="15.75" customHeight="1">
      <c r="A59" s="135"/>
      <c r="B59" s="135"/>
      <c r="C59" s="119"/>
      <c r="D59" s="24"/>
      <c r="E59" s="38"/>
      <c r="F59" s="24"/>
      <c r="G59" s="38"/>
      <c r="H59" s="38"/>
      <c r="I59" s="38"/>
      <c r="J59" s="38"/>
      <c r="K59" s="38"/>
      <c r="L59" s="55"/>
      <c r="M59" s="38"/>
      <c r="N59" s="38"/>
      <c r="O59" s="38"/>
      <c r="P59" s="38"/>
    </row>
    <row r="60" ht="15.75" customHeight="1">
      <c r="A60" s="135"/>
      <c r="B60" s="135"/>
      <c r="C60" s="119"/>
      <c r="D60" s="24"/>
      <c r="E60" s="38"/>
      <c r="F60" s="24"/>
      <c r="G60" s="38"/>
      <c r="H60" s="38"/>
      <c r="I60" s="38"/>
      <c r="J60" s="38"/>
      <c r="K60" s="38"/>
      <c r="L60" s="55"/>
      <c r="M60" s="38"/>
      <c r="N60" s="38"/>
      <c r="O60" s="38"/>
      <c r="P60" s="38"/>
    </row>
    <row r="61" ht="15.75" customHeight="1">
      <c r="A61" s="135"/>
      <c r="B61" s="135"/>
      <c r="C61" s="119"/>
      <c r="D61" s="24"/>
      <c r="E61" s="38"/>
      <c r="F61" s="24"/>
      <c r="G61" s="38"/>
      <c r="H61" s="38"/>
      <c r="I61" s="38"/>
      <c r="J61" s="38"/>
      <c r="K61" s="38"/>
      <c r="L61" s="55"/>
      <c r="M61" s="38"/>
      <c r="N61" s="38"/>
      <c r="O61" s="38"/>
      <c r="P61" s="38"/>
    </row>
    <row r="62" ht="15.75" customHeight="1">
      <c r="A62" s="135"/>
      <c r="B62" s="135"/>
      <c r="C62" s="119"/>
      <c r="D62" s="24"/>
      <c r="E62" s="38"/>
      <c r="F62" s="24"/>
      <c r="G62" s="38"/>
      <c r="H62" s="38"/>
      <c r="I62" s="38"/>
      <c r="J62" s="38"/>
      <c r="K62" s="38"/>
      <c r="L62" s="55"/>
      <c r="M62" s="38"/>
      <c r="N62" s="38"/>
      <c r="O62" s="38"/>
      <c r="P62" s="38"/>
    </row>
    <row r="63" ht="15.75" customHeight="1">
      <c r="A63" s="140"/>
      <c r="B63" s="140"/>
      <c r="C63" s="125"/>
      <c r="D63" s="24"/>
      <c r="E63" s="38"/>
      <c r="F63" s="24"/>
      <c r="G63" s="38"/>
      <c r="H63" s="38"/>
      <c r="I63" s="38"/>
      <c r="J63" s="38"/>
      <c r="K63" s="38"/>
      <c r="L63" s="55"/>
      <c r="M63" s="38"/>
      <c r="N63" s="38"/>
      <c r="O63" s="38"/>
      <c r="P63" s="38"/>
    </row>
    <row r="64" ht="15.75" customHeight="1">
      <c r="A64" s="141" t="s">
        <v>432</v>
      </c>
      <c r="B64" s="142"/>
      <c r="C64" s="44">
        <f>SUM(H64:H79)</f>
        <v>-63.48</v>
      </c>
      <c r="D64" s="24"/>
      <c r="E64" s="38"/>
      <c r="F64" s="24"/>
      <c r="G64" s="13">
        <v>-1.0</v>
      </c>
      <c r="H64" s="13">
        <v>-13.0</v>
      </c>
      <c r="I64" s="13" t="s">
        <v>59</v>
      </c>
      <c r="J64" s="13" t="s">
        <v>60</v>
      </c>
      <c r="K64" s="13">
        <v>47066.56</v>
      </c>
      <c r="L64" s="130">
        <v>47126.36</v>
      </c>
      <c r="M64" s="13">
        <v>46940.36</v>
      </c>
      <c r="N64" s="50">
        <v>45978.0</v>
      </c>
      <c r="O64" s="46">
        <v>0.9381944444444444</v>
      </c>
      <c r="P64" s="143" t="s">
        <v>433</v>
      </c>
    </row>
    <row r="65" ht="15.75" customHeight="1">
      <c r="A65" s="35" t="s">
        <v>73</v>
      </c>
      <c r="B65" s="36">
        <v>750.0</v>
      </c>
      <c r="C65" s="119"/>
      <c r="D65" s="38"/>
      <c r="E65" s="38"/>
      <c r="F65" s="38"/>
      <c r="G65" s="13">
        <v>1.5</v>
      </c>
      <c r="H65" s="13">
        <v>23.0</v>
      </c>
      <c r="I65" s="13" t="s">
        <v>59</v>
      </c>
      <c r="J65" s="13" t="s">
        <v>22</v>
      </c>
      <c r="K65" s="13">
        <v>25049.37</v>
      </c>
      <c r="L65" s="45">
        <v>25017.39</v>
      </c>
      <c r="M65" s="13" t="s">
        <v>435</v>
      </c>
      <c r="N65" s="50">
        <v>45978.0</v>
      </c>
      <c r="O65" s="46">
        <v>0.9409722222222222</v>
      </c>
      <c r="P65" s="37"/>
    </row>
    <row r="66" ht="15.75" customHeight="1">
      <c r="A66" s="35" t="s">
        <v>112</v>
      </c>
      <c r="B66" s="15">
        <f>C64-B65</f>
        <v>-813.48</v>
      </c>
      <c r="C66" s="119"/>
      <c r="D66" s="38"/>
      <c r="E66" s="38"/>
      <c r="F66" s="38"/>
      <c r="G66" s="13">
        <v>0.5</v>
      </c>
      <c r="H66" s="13">
        <f>6</f>
        <v>6</v>
      </c>
      <c r="I66" s="13" t="s">
        <v>59</v>
      </c>
      <c r="J66" s="13" t="s">
        <v>60</v>
      </c>
      <c r="K66" s="129">
        <v>47124.25</v>
      </c>
      <c r="L66" s="130">
        <v>47126.36</v>
      </c>
      <c r="M66" s="129" t="s">
        <v>436</v>
      </c>
      <c r="N66" s="50">
        <v>45978.0</v>
      </c>
      <c r="O66" s="46">
        <v>0.9409722222222222</v>
      </c>
      <c r="P66" s="110"/>
    </row>
    <row r="67" ht="15.75" customHeight="1">
      <c r="C67" s="119"/>
      <c r="D67" s="38"/>
      <c r="E67" s="38"/>
      <c r="F67" s="38"/>
      <c r="G67" s="38"/>
      <c r="H67" s="13">
        <v>-14.0</v>
      </c>
      <c r="I67" s="38"/>
      <c r="J67" s="13" t="s">
        <v>22</v>
      </c>
      <c r="K67" s="13">
        <v>24765.15</v>
      </c>
      <c r="L67" s="45">
        <v>24682.75</v>
      </c>
      <c r="M67" s="13">
        <v>24797.76</v>
      </c>
      <c r="N67" s="50">
        <v>45979.0</v>
      </c>
      <c r="O67" s="46">
        <v>0.9395833333333333</v>
      </c>
      <c r="P67" s="13" t="s">
        <v>438</v>
      </c>
    </row>
    <row r="68" ht="15.75" customHeight="1">
      <c r="C68" s="119"/>
      <c r="D68" s="38"/>
      <c r="E68" s="38"/>
      <c r="F68" s="38"/>
      <c r="G68" s="38"/>
      <c r="H68" s="13">
        <v>-18.0</v>
      </c>
      <c r="I68" s="38"/>
      <c r="J68" s="13" t="s">
        <v>60</v>
      </c>
      <c r="K68" s="13">
        <v>46136.38</v>
      </c>
      <c r="L68" s="45">
        <v>46220.09</v>
      </c>
      <c r="M68" s="38"/>
      <c r="N68" s="50">
        <v>45979.0</v>
      </c>
      <c r="O68" s="46">
        <v>0.9381944444444444</v>
      </c>
      <c r="P68" s="13" t="s">
        <v>439</v>
      </c>
    </row>
    <row r="69" ht="15.75" customHeight="1">
      <c r="C69" s="119"/>
      <c r="D69" s="38"/>
      <c r="E69" s="38"/>
      <c r="F69" s="38"/>
      <c r="G69" s="38"/>
      <c r="H69" s="13">
        <v>-18.0</v>
      </c>
      <c r="I69" s="13" t="s">
        <v>59</v>
      </c>
      <c r="J69" s="13" t="s">
        <v>60</v>
      </c>
      <c r="K69" s="13">
        <v>46366.38</v>
      </c>
      <c r="L69" s="45">
        <v>46301.93</v>
      </c>
      <c r="M69" s="13" t="s">
        <v>440</v>
      </c>
      <c r="N69" s="50">
        <v>45979.0</v>
      </c>
      <c r="O69" s="46">
        <v>0.9479166666666666</v>
      </c>
      <c r="P69" s="13" t="s">
        <v>441</v>
      </c>
    </row>
    <row r="70" ht="15.75" customHeight="1">
      <c r="C70" s="119"/>
      <c r="D70" s="38"/>
      <c r="E70" s="38"/>
      <c r="F70" s="38"/>
      <c r="G70" s="38"/>
      <c r="H70" s="13">
        <v>-14.0</v>
      </c>
      <c r="I70" s="13" t="s">
        <v>59</v>
      </c>
      <c r="J70" s="13" t="s">
        <v>60</v>
      </c>
      <c r="K70" s="13">
        <v>46828.36</v>
      </c>
      <c r="L70" s="45">
        <v>46764.81</v>
      </c>
      <c r="M70" s="13">
        <v>46920.34</v>
      </c>
      <c r="N70" s="50">
        <v>45981.0</v>
      </c>
      <c r="O70" s="46">
        <v>0.9395833333333333</v>
      </c>
      <c r="P70" s="38"/>
    </row>
    <row r="71" ht="15.75" customHeight="1">
      <c r="C71" s="119"/>
      <c r="D71" s="38"/>
      <c r="E71" s="38"/>
      <c r="F71" s="38"/>
      <c r="G71" s="38"/>
      <c r="H71" s="13">
        <v>-15.48</v>
      </c>
      <c r="I71" s="13" t="s">
        <v>59</v>
      </c>
      <c r="J71" s="13" t="s">
        <v>22</v>
      </c>
      <c r="K71" s="13">
        <v>25221.69</v>
      </c>
      <c r="L71" s="45">
        <v>25171.39</v>
      </c>
      <c r="M71" s="13" t="s">
        <v>443</v>
      </c>
      <c r="N71" s="50">
        <v>45981.0</v>
      </c>
      <c r="O71" s="46">
        <v>0.95</v>
      </c>
      <c r="P71" s="38"/>
    </row>
    <row r="72" ht="15.75" customHeight="1">
      <c r="C72" s="119"/>
      <c r="D72" s="38"/>
      <c r="E72" s="38"/>
      <c r="F72" s="38"/>
      <c r="G72" s="38"/>
      <c r="H72" s="38"/>
      <c r="I72" s="38"/>
      <c r="J72" s="38"/>
      <c r="K72" s="38"/>
      <c r="L72" s="55"/>
      <c r="M72" s="38"/>
      <c r="N72" s="38"/>
      <c r="O72" s="38"/>
      <c r="P72" s="38"/>
    </row>
    <row r="73" ht="15.75" customHeight="1">
      <c r="C73" s="119"/>
      <c r="D73" s="38"/>
      <c r="E73" s="38"/>
      <c r="F73" s="38"/>
      <c r="G73" s="38"/>
      <c r="H73" s="38"/>
      <c r="I73" s="38"/>
      <c r="J73" s="38"/>
      <c r="K73" s="38"/>
      <c r="L73" s="55"/>
      <c r="M73" s="38"/>
      <c r="N73" s="38"/>
      <c r="O73" s="38"/>
      <c r="P73" s="38"/>
    </row>
    <row r="74" ht="15.75" customHeight="1">
      <c r="C74" s="119"/>
      <c r="D74" s="38"/>
      <c r="E74" s="38"/>
      <c r="F74" s="38"/>
      <c r="G74" s="38"/>
      <c r="H74" s="38"/>
      <c r="I74" s="38"/>
      <c r="J74" s="38"/>
      <c r="K74" s="38"/>
      <c r="L74" s="55"/>
      <c r="M74" s="38"/>
      <c r="N74" s="38"/>
      <c r="O74" s="38"/>
      <c r="P74" s="38"/>
    </row>
    <row r="75" ht="15.75" customHeight="1">
      <c r="C75" s="119"/>
      <c r="D75" s="38"/>
      <c r="E75" s="38"/>
      <c r="F75" s="38"/>
      <c r="G75" s="38"/>
      <c r="H75" s="38"/>
      <c r="I75" s="38"/>
      <c r="J75" s="38"/>
      <c r="K75" s="38"/>
      <c r="L75" s="55"/>
      <c r="M75" s="38"/>
      <c r="N75" s="38"/>
      <c r="O75" s="38"/>
      <c r="P75" s="38"/>
    </row>
    <row r="76" ht="15.75" customHeight="1">
      <c r="C76" s="119"/>
      <c r="D76" s="38"/>
      <c r="E76" s="38"/>
      <c r="F76" s="38"/>
      <c r="G76" s="38"/>
      <c r="H76" s="38"/>
      <c r="I76" s="38"/>
      <c r="J76" s="38"/>
      <c r="K76" s="38"/>
      <c r="L76" s="55"/>
      <c r="M76" s="38"/>
      <c r="N76" s="38"/>
      <c r="O76" s="38"/>
      <c r="P76" s="38"/>
    </row>
    <row r="77" ht="15.75" customHeight="1">
      <c r="C77" s="119"/>
      <c r="D77" s="38"/>
      <c r="E77" s="38"/>
      <c r="F77" s="38"/>
      <c r="G77" s="38"/>
      <c r="H77" s="38"/>
      <c r="I77" s="38"/>
      <c r="J77" s="38"/>
      <c r="K77" s="38"/>
      <c r="L77" s="55"/>
      <c r="M77" s="38"/>
      <c r="N77" s="38"/>
      <c r="O77" s="38"/>
      <c r="P77" s="38"/>
    </row>
    <row r="78" ht="15.75" customHeight="1">
      <c r="C78" s="119"/>
      <c r="D78" s="38"/>
      <c r="E78" s="38"/>
      <c r="F78" s="38"/>
      <c r="G78" s="38"/>
      <c r="H78" s="38"/>
      <c r="I78" s="38"/>
      <c r="J78" s="38"/>
      <c r="K78" s="38"/>
      <c r="L78" s="55"/>
      <c r="M78" s="38"/>
      <c r="N78" s="38"/>
      <c r="O78" s="38"/>
      <c r="P78" s="38"/>
    </row>
    <row r="79" ht="15.75" customHeight="1">
      <c r="C79" s="119"/>
      <c r="D79" s="38"/>
      <c r="E79" s="38"/>
      <c r="F79" s="38"/>
      <c r="G79" s="38"/>
      <c r="H79" s="38"/>
      <c r="I79" s="38"/>
      <c r="J79" s="38"/>
      <c r="K79" s="38"/>
      <c r="L79" s="55"/>
      <c r="M79" s="38"/>
      <c r="N79" s="38"/>
      <c r="O79" s="38"/>
      <c r="P79" s="38"/>
    </row>
    <row r="80" ht="15.75" customHeight="1">
      <c r="A80" s="141" t="s">
        <v>432</v>
      </c>
      <c r="B80" s="142"/>
      <c r="C80" s="44">
        <f>SUM(H80:H95)</f>
        <v>49.39</v>
      </c>
      <c r="D80" s="24"/>
      <c r="E80" s="38"/>
      <c r="F80" s="24"/>
      <c r="G80" s="13"/>
      <c r="H80" s="13">
        <v>18.91</v>
      </c>
      <c r="I80" s="13" t="s">
        <v>59</v>
      </c>
      <c r="J80" s="13" t="s">
        <v>22</v>
      </c>
      <c r="K80" s="13">
        <v>24559.15</v>
      </c>
      <c r="L80" s="130">
        <v>24517.69</v>
      </c>
      <c r="M80" s="13">
        <v>24667.65</v>
      </c>
      <c r="N80" s="50">
        <v>45985.0</v>
      </c>
      <c r="O80" s="46">
        <v>0.9388888888888889</v>
      </c>
      <c r="P80" s="13" t="s">
        <v>445</v>
      </c>
    </row>
    <row r="81" ht="15.75" customHeight="1">
      <c r="A81" s="35" t="s">
        <v>73</v>
      </c>
      <c r="B81" s="36">
        <v>750.0</v>
      </c>
      <c r="C81" s="119"/>
      <c r="D81" s="38"/>
      <c r="E81" s="38"/>
      <c r="F81" s="38"/>
      <c r="G81" s="13"/>
      <c r="H81" s="13">
        <v>17.2</v>
      </c>
      <c r="I81" s="13" t="s">
        <v>59</v>
      </c>
      <c r="J81" s="13" t="s">
        <v>60</v>
      </c>
      <c r="K81" s="13">
        <v>46684.47</v>
      </c>
      <c r="L81" s="45">
        <v>46613.29</v>
      </c>
      <c r="M81" s="13">
        <v>46770.0</v>
      </c>
      <c r="N81" s="50">
        <v>45986.0</v>
      </c>
      <c r="O81" s="46">
        <v>0.9381944444444444</v>
      </c>
      <c r="P81" s="13" t="s">
        <v>446</v>
      </c>
    </row>
    <row r="82" ht="15.75" customHeight="1">
      <c r="A82" s="35" t="s">
        <v>112</v>
      </c>
      <c r="B82" s="15">
        <f>C80-B81</f>
        <v>-700.61</v>
      </c>
      <c r="C82" s="119"/>
      <c r="D82" s="38"/>
      <c r="E82" s="38"/>
      <c r="F82" s="38"/>
      <c r="G82" s="13"/>
      <c r="H82" s="13">
        <v>10.64</v>
      </c>
      <c r="I82" s="13" t="s">
        <v>59</v>
      </c>
      <c r="J82" s="13" t="s">
        <v>22</v>
      </c>
      <c r="K82" s="129">
        <v>24758.96</v>
      </c>
      <c r="L82" s="130">
        <v>24802.7</v>
      </c>
      <c r="M82" s="129">
        <v>24725.0</v>
      </c>
      <c r="N82" s="50">
        <v>45986.0</v>
      </c>
      <c r="O82" s="46">
        <v>0.9444444444444444</v>
      </c>
      <c r="P82" s="38"/>
    </row>
    <row r="83" ht="15.75" customHeight="1">
      <c r="C83" s="119"/>
      <c r="D83" s="38"/>
      <c r="E83" s="38"/>
      <c r="F83" s="38"/>
      <c r="G83" s="38"/>
      <c r="H83" s="13">
        <v>18.2</v>
      </c>
      <c r="I83" s="38"/>
      <c r="J83" s="13" t="s">
        <v>60</v>
      </c>
      <c r="K83" s="13">
        <v>47344.47</v>
      </c>
      <c r="L83" s="45">
        <v>47295.78</v>
      </c>
      <c r="M83" s="13">
        <v>47438.44</v>
      </c>
      <c r="N83" s="50">
        <v>45987.0</v>
      </c>
      <c r="O83" s="46">
        <v>0.9402777777777778</v>
      </c>
      <c r="P83" s="38"/>
    </row>
    <row r="84" ht="15.75" customHeight="1">
      <c r="C84" s="119"/>
      <c r="D84" s="38"/>
      <c r="E84" s="38"/>
      <c r="F84" s="38"/>
      <c r="G84" s="38"/>
      <c r="H84" s="13">
        <v>-15.56</v>
      </c>
      <c r="I84" s="38"/>
      <c r="J84" s="13" t="s">
        <v>22</v>
      </c>
      <c r="K84" s="13">
        <v>25235.31</v>
      </c>
      <c r="L84" s="45">
        <v>25178.86</v>
      </c>
      <c r="M84" s="38"/>
      <c r="N84" s="50">
        <v>45987.0</v>
      </c>
      <c r="O84" s="46">
        <v>0.9388888888888889</v>
      </c>
      <c r="P84" s="13" t="s">
        <v>448</v>
      </c>
    </row>
    <row r="85" ht="15.75" customHeight="1">
      <c r="C85" s="119"/>
      <c r="D85" s="38"/>
      <c r="E85" s="38"/>
      <c r="F85" s="38"/>
      <c r="G85" s="38"/>
      <c r="H85" s="13"/>
      <c r="I85" s="13"/>
      <c r="J85" s="13"/>
      <c r="K85" s="13"/>
      <c r="L85" s="45"/>
      <c r="M85" s="13"/>
      <c r="N85" s="50"/>
      <c r="O85" s="46"/>
      <c r="P85" s="38"/>
    </row>
    <row r="86" ht="15.75" customHeight="1">
      <c r="C86" s="119"/>
      <c r="D86" s="38"/>
      <c r="E86" s="38"/>
      <c r="F86" s="38"/>
      <c r="G86" s="38"/>
      <c r="H86" s="13"/>
      <c r="I86" s="13"/>
      <c r="J86" s="13"/>
      <c r="K86" s="13"/>
      <c r="L86" s="45"/>
      <c r="M86" s="13"/>
      <c r="N86" s="50"/>
      <c r="O86" s="46"/>
      <c r="P86" s="38"/>
    </row>
    <row r="87" ht="15.75" customHeight="1">
      <c r="C87" s="119"/>
      <c r="D87" s="38"/>
      <c r="E87" s="38"/>
      <c r="F87" s="38"/>
      <c r="G87" s="38"/>
      <c r="H87" s="13"/>
      <c r="I87" s="13"/>
      <c r="J87" s="13"/>
      <c r="K87" s="13"/>
      <c r="L87" s="45"/>
      <c r="M87" s="13"/>
      <c r="N87" s="50"/>
      <c r="O87" s="46"/>
      <c r="P87" s="38"/>
    </row>
    <row r="88" ht="15.75" customHeight="1">
      <c r="C88" s="119"/>
      <c r="D88" s="38"/>
      <c r="E88" s="38"/>
      <c r="F88" s="38"/>
      <c r="G88" s="38"/>
      <c r="H88" s="38"/>
      <c r="I88" s="38"/>
      <c r="J88" s="38"/>
      <c r="K88" s="38"/>
      <c r="L88" s="55"/>
      <c r="M88" s="38"/>
      <c r="N88" s="38"/>
      <c r="O88" s="38"/>
      <c r="P88" s="38"/>
    </row>
    <row r="89" ht="15.75" customHeight="1">
      <c r="C89" s="119"/>
      <c r="D89" s="38"/>
      <c r="E89" s="38"/>
      <c r="F89" s="38"/>
      <c r="G89" s="38"/>
      <c r="H89" s="38"/>
      <c r="I89" s="38"/>
      <c r="J89" s="38"/>
      <c r="K89" s="38"/>
      <c r="L89" s="55"/>
      <c r="M89" s="38"/>
      <c r="N89" s="38"/>
      <c r="O89" s="38"/>
      <c r="P89" s="38"/>
    </row>
    <row r="90" ht="15.75" customHeight="1">
      <c r="C90" s="119"/>
      <c r="D90" s="38"/>
      <c r="E90" s="38"/>
      <c r="F90" s="38"/>
      <c r="G90" s="38"/>
      <c r="H90" s="38"/>
      <c r="I90" s="38"/>
      <c r="J90" s="38"/>
      <c r="K90" s="38"/>
      <c r="L90" s="55"/>
      <c r="M90" s="38"/>
      <c r="N90" s="38"/>
      <c r="O90" s="38"/>
      <c r="P90" s="38"/>
    </row>
    <row r="91" ht="15.75" customHeight="1">
      <c r="C91" s="119"/>
      <c r="D91" s="38"/>
      <c r="E91" s="38"/>
      <c r="F91" s="38"/>
      <c r="G91" s="38"/>
      <c r="H91" s="38"/>
      <c r="I91" s="38"/>
      <c r="J91" s="38"/>
      <c r="K91" s="38"/>
      <c r="L91" s="55"/>
      <c r="M91" s="38"/>
      <c r="N91" s="38"/>
      <c r="O91" s="38"/>
      <c r="P91" s="38"/>
    </row>
    <row r="92" ht="15.75" customHeight="1">
      <c r="C92" s="119"/>
      <c r="D92" s="38"/>
      <c r="E92" s="38"/>
      <c r="F92" s="38"/>
      <c r="G92" s="38"/>
      <c r="H92" s="38"/>
      <c r="I92" s="38"/>
      <c r="J92" s="38"/>
      <c r="K92" s="38"/>
      <c r="L92" s="55"/>
      <c r="M92" s="38"/>
      <c r="N92" s="38"/>
      <c r="O92" s="38"/>
      <c r="P92" s="38"/>
    </row>
    <row r="93" ht="15.75" customHeight="1">
      <c r="C93" s="119"/>
      <c r="D93" s="38"/>
      <c r="E93" s="38"/>
      <c r="F93" s="38"/>
      <c r="G93" s="38"/>
      <c r="H93" s="38"/>
      <c r="I93" s="38"/>
      <c r="J93" s="38"/>
      <c r="K93" s="38"/>
      <c r="L93" s="55"/>
      <c r="M93" s="38"/>
      <c r="N93" s="38"/>
      <c r="O93" s="38"/>
      <c r="P93" s="38"/>
    </row>
    <row r="94" ht="15.75" customHeight="1">
      <c r="C94" s="119"/>
      <c r="D94" s="38"/>
      <c r="E94" s="38"/>
      <c r="F94" s="38"/>
      <c r="G94" s="38"/>
      <c r="H94" s="38"/>
      <c r="I94" s="38"/>
      <c r="J94" s="38"/>
      <c r="K94" s="38"/>
      <c r="L94" s="55"/>
      <c r="M94" s="38"/>
      <c r="N94" s="38"/>
      <c r="O94" s="38"/>
      <c r="P94" s="38"/>
    </row>
    <row r="95" ht="15.75" customHeight="1">
      <c r="C95" s="119"/>
      <c r="D95" s="38"/>
      <c r="E95" s="38"/>
      <c r="F95" s="38"/>
      <c r="G95" s="38"/>
      <c r="H95" s="38"/>
      <c r="I95" s="38"/>
      <c r="J95" s="38"/>
      <c r="K95" s="38"/>
      <c r="L95" s="55"/>
      <c r="M95" s="38"/>
      <c r="N95" s="38"/>
      <c r="O95" s="38"/>
      <c r="P95" s="38"/>
    </row>
    <row r="96" ht="15.75" customHeight="1">
      <c r="D96" s="38"/>
      <c r="E96" s="38"/>
      <c r="F96" s="38"/>
      <c r="G96" s="38"/>
      <c r="H96" s="38"/>
      <c r="I96" s="38"/>
      <c r="J96" s="38"/>
      <c r="K96" s="38"/>
      <c r="L96" s="55"/>
      <c r="M96" s="38"/>
      <c r="N96" s="38"/>
      <c r="O96" s="38"/>
      <c r="P96" s="38"/>
    </row>
    <row r="97" ht="15.75" customHeight="1">
      <c r="A97" s="141" t="s">
        <v>432</v>
      </c>
      <c r="B97" s="142"/>
      <c r="C97" s="44">
        <f>SUM(H97:H112)</f>
        <v>6.16</v>
      </c>
      <c r="D97" s="24"/>
      <c r="E97" s="38"/>
      <c r="F97" s="24"/>
      <c r="G97" s="13"/>
      <c r="H97" s="13">
        <v>8.6</v>
      </c>
      <c r="I97" s="13" t="s">
        <v>59</v>
      </c>
      <c r="J97" s="13" t="s">
        <v>60</v>
      </c>
      <c r="K97" s="13">
        <v>47664.5</v>
      </c>
      <c r="L97" s="130">
        <v>47604.15</v>
      </c>
      <c r="M97" s="13">
        <v>47724.87</v>
      </c>
      <c r="N97" s="50">
        <v>45992.0</v>
      </c>
      <c r="O97" s="46">
        <v>0.9534722222222223</v>
      </c>
      <c r="P97" s="13" t="s">
        <v>450</v>
      </c>
    </row>
    <row r="98" ht="55.5" customHeight="1">
      <c r="A98" s="35" t="s">
        <v>73</v>
      </c>
      <c r="B98" s="36">
        <v>750.0</v>
      </c>
      <c r="C98" s="119"/>
      <c r="D98" s="38"/>
      <c r="E98" s="38"/>
      <c r="F98" s="38"/>
      <c r="G98" s="13"/>
      <c r="H98" s="13">
        <v>0.1</v>
      </c>
      <c r="I98" s="13" t="s">
        <v>59</v>
      </c>
      <c r="J98" s="13" t="s">
        <v>22</v>
      </c>
      <c r="K98" s="13">
        <v>25586.34</v>
      </c>
      <c r="L98" s="45">
        <v>25524.73</v>
      </c>
      <c r="M98" s="13">
        <v>25655.39</v>
      </c>
      <c r="N98" s="50">
        <v>45993.0</v>
      </c>
      <c r="O98" s="46">
        <v>0.9423611111111111</v>
      </c>
      <c r="P98" s="13" t="s">
        <v>451</v>
      </c>
    </row>
    <row r="99" ht="30.0" customHeight="1">
      <c r="A99" s="35" t="s">
        <v>112</v>
      </c>
      <c r="B99" s="15">
        <f>C97-B98</f>
        <v>-743.84</v>
      </c>
      <c r="C99" s="119"/>
      <c r="D99" s="38"/>
      <c r="E99" s="38"/>
      <c r="F99" s="38"/>
      <c r="G99" s="13"/>
      <c r="H99" s="13">
        <v>-14.6</v>
      </c>
      <c r="I99" s="13" t="s">
        <v>59</v>
      </c>
      <c r="J99" s="13" t="s">
        <v>60</v>
      </c>
      <c r="K99" s="129">
        <v>47637.6</v>
      </c>
      <c r="L99" s="130"/>
      <c r="M99" s="129"/>
      <c r="N99" s="50">
        <v>45994.0</v>
      </c>
      <c r="O99" s="46">
        <v>0.9444444444444444</v>
      </c>
      <c r="P99" s="13" t="s">
        <v>453</v>
      </c>
    </row>
    <row r="100" ht="15.75" customHeight="1">
      <c r="C100" s="119"/>
      <c r="D100" s="38"/>
      <c r="E100" s="38"/>
      <c r="F100" s="38"/>
      <c r="G100" s="13" t="s">
        <v>454</v>
      </c>
      <c r="H100" s="13">
        <v>9.4</v>
      </c>
      <c r="I100" s="13" t="s">
        <v>59</v>
      </c>
      <c r="J100" s="13" t="s">
        <v>60</v>
      </c>
      <c r="K100" s="13">
        <v>48048.6</v>
      </c>
      <c r="L100" s="45">
        <v>47995.16</v>
      </c>
      <c r="M100" s="45">
        <v>48096.24</v>
      </c>
      <c r="N100" s="50">
        <v>45995.0</v>
      </c>
      <c r="O100" s="46">
        <v>0.9381944444444444</v>
      </c>
      <c r="P100" s="13" t="s">
        <v>455</v>
      </c>
    </row>
    <row r="101" ht="15.75" customHeight="1">
      <c r="C101" s="119"/>
      <c r="D101" s="38"/>
      <c r="E101" s="38"/>
      <c r="F101" s="38"/>
      <c r="G101" s="13" t="s">
        <v>454</v>
      </c>
      <c r="H101" s="13">
        <v>2.66</v>
      </c>
      <c r="I101" s="13" t="s">
        <v>59</v>
      </c>
      <c r="J101" s="13" t="s">
        <v>22</v>
      </c>
      <c r="K101" s="13">
        <v>25567.8</v>
      </c>
      <c r="L101" s="45">
        <v>25634.11</v>
      </c>
      <c r="M101" s="13">
        <v>25548.96</v>
      </c>
      <c r="N101" s="50">
        <v>45995.0</v>
      </c>
      <c r="O101" s="46">
        <v>0.9402777777777778</v>
      </c>
      <c r="P101" s="13" t="s">
        <v>456</v>
      </c>
    </row>
    <row r="102" ht="15.75" customHeight="1">
      <c r="C102" s="119"/>
      <c r="D102" s="38"/>
      <c r="E102" s="38"/>
      <c r="F102" s="38"/>
      <c r="G102" s="38"/>
      <c r="H102" s="13"/>
      <c r="I102" s="13"/>
      <c r="J102" s="13"/>
      <c r="K102" s="13"/>
      <c r="L102" s="45"/>
      <c r="M102" s="13"/>
      <c r="N102" s="50"/>
      <c r="O102" s="46"/>
      <c r="P102" s="38"/>
    </row>
    <row r="103" ht="15.75" customHeight="1">
      <c r="C103" s="119"/>
      <c r="D103" s="38"/>
      <c r="E103" s="38"/>
      <c r="F103" s="38"/>
      <c r="G103" s="38"/>
      <c r="H103" s="13"/>
      <c r="I103" s="13"/>
      <c r="J103" s="13"/>
      <c r="K103" s="13"/>
      <c r="L103" s="45"/>
      <c r="M103" s="13"/>
      <c r="N103" s="50"/>
      <c r="O103" s="46"/>
      <c r="P103" s="38"/>
    </row>
    <row r="104" ht="15.75" customHeight="1">
      <c r="C104" s="119"/>
      <c r="D104" s="38"/>
      <c r="E104" s="38"/>
      <c r="F104" s="38"/>
      <c r="G104" s="38"/>
      <c r="H104" s="13"/>
      <c r="I104" s="13"/>
      <c r="J104" s="13"/>
      <c r="K104" s="13"/>
      <c r="L104" s="45"/>
      <c r="M104" s="13"/>
      <c r="N104" s="50"/>
      <c r="O104" s="46"/>
      <c r="P104" s="38"/>
    </row>
    <row r="105" ht="15.75" customHeight="1">
      <c r="C105" s="119"/>
      <c r="D105" s="38"/>
      <c r="E105" s="38"/>
      <c r="F105" s="38"/>
      <c r="G105" s="38"/>
      <c r="H105" s="38"/>
      <c r="I105" s="38"/>
      <c r="J105" s="38"/>
      <c r="K105" s="38"/>
      <c r="L105" s="55"/>
      <c r="M105" s="38"/>
      <c r="N105" s="38"/>
      <c r="O105" s="38"/>
      <c r="P105" s="38"/>
    </row>
    <row r="106" ht="15.75" customHeight="1">
      <c r="C106" s="119"/>
      <c r="D106" s="38"/>
      <c r="E106" s="38"/>
      <c r="F106" s="38"/>
      <c r="G106" s="38"/>
      <c r="H106" s="38"/>
      <c r="I106" s="38"/>
      <c r="J106" s="38"/>
      <c r="K106" s="38"/>
      <c r="L106" s="55"/>
      <c r="M106" s="38"/>
      <c r="N106" s="38"/>
      <c r="O106" s="38"/>
      <c r="P106" s="38"/>
    </row>
    <row r="107" ht="15.75" customHeight="1">
      <c r="C107" s="119"/>
      <c r="D107" s="38"/>
      <c r="E107" s="38"/>
      <c r="F107" s="38"/>
      <c r="G107" s="38"/>
      <c r="H107" s="38"/>
      <c r="I107" s="38"/>
      <c r="J107" s="38"/>
      <c r="K107" s="38"/>
      <c r="L107" s="55"/>
      <c r="M107" s="38"/>
      <c r="N107" s="38"/>
      <c r="O107" s="38"/>
      <c r="P107" s="38"/>
    </row>
    <row r="108" ht="15.75" customHeight="1">
      <c r="C108" s="119"/>
      <c r="D108" s="38"/>
      <c r="E108" s="38"/>
      <c r="F108" s="38"/>
      <c r="G108" s="38"/>
      <c r="H108" s="38"/>
      <c r="I108" s="38"/>
      <c r="J108" s="38"/>
      <c r="K108" s="38"/>
      <c r="L108" s="55"/>
      <c r="M108" s="38"/>
      <c r="N108" s="38"/>
      <c r="O108" s="38"/>
      <c r="P108" s="38"/>
    </row>
    <row r="109" ht="15.75" customHeight="1">
      <c r="C109" s="119"/>
      <c r="D109" s="38"/>
      <c r="E109" s="38"/>
      <c r="F109" s="38"/>
      <c r="G109" s="38"/>
      <c r="H109" s="38"/>
      <c r="I109" s="38"/>
      <c r="J109" s="38"/>
      <c r="K109" s="38"/>
      <c r="L109" s="55"/>
      <c r="M109" s="38"/>
      <c r="N109" s="38"/>
      <c r="O109" s="38"/>
      <c r="P109" s="38"/>
    </row>
    <row r="110" ht="15.75" customHeight="1">
      <c r="C110" s="119"/>
      <c r="D110" s="38"/>
      <c r="E110" s="38"/>
      <c r="F110" s="38"/>
      <c r="G110" s="38"/>
      <c r="H110" s="38"/>
      <c r="I110" s="38"/>
      <c r="J110" s="38"/>
      <c r="K110" s="38"/>
      <c r="L110" s="55"/>
      <c r="M110" s="38"/>
      <c r="N110" s="38"/>
      <c r="O110" s="38"/>
      <c r="P110" s="38"/>
    </row>
    <row r="111" ht="15.75" customHeight="1">
      <c r="C111" s="119"/>
      <c r="D111" s="38"/>
      <c r="E111" s="38"/>
      <c r="F111" s="38"/>
      <c r="G111" s="38"/>
      <c r="H111" s="38"/>
      <c r="I111" s="38"/>
      <c r="J111" s="38"/>
      <c r="K111" s="38"/>
      <c r="L111" s="55"/>
      <c r="M111" s="38"/>
      <c r="N111" s="38"/>
      <c r="O111" s="38"/>
      <c r="P111" s="38"/>
    </row>
    <row r="112" ht="15.75" customHeight="1">
      <c r="C112" s="119"/>
      <c r="D112" s="38"/>
      <c r="E112" s="38"/>
      <c r="F112" s="38"/>
      <c r="G112" s="38"/>
      <c r="H112" s="38"/>
      <c r="I112" s="38"/>
      <c r="J112" s="38"/>
      <c r="K112" s="38"/>
      <c r="L112" s="55"/>
      <c r="M112" s="38"/>
      <c r="N112" s="38"/>
      <c r="O112" s="38"/>
      <c r="P112" s="38"/>
    </row>
    <row r="113" ht="15.75" customHeight="1">
      <c r="D113" s="38"/>
      <c r="E113" s="38"/>
      <c r="F113" s="38"/>
      <c r="G113" s="38"/>
      <c r="H113" s="38"/>
      <c r="I113" s="38"/>
      <c r="J113" s="38"/>
      <c r="K113" s="38"/>
      <c r="L113" s="55"/>
      <c r="M113" s="38"/>
      <c r="N113" s="38"/>
      <c r="O113" s="38"/>
      <c r="P113" s="38"/>
    </row>
    <row r="114" ht="15.75" customHeight="1">
      <c r="A114" s="141" t="s">
        <v>432</v>
      </c>
      <c r="B114" s="142"/>
      <c r="C114" s="44">
        <f>SUM(H114:H129)</f>
        <v>16.76</v>
      </c>
      <c r="D114" s="24"/>
      <c r="E114" s="38"/>
      <c r="F114" s="24"/>
      <c r="G114" s="13" t="s">
        <v>457</v>
      </c>
      <c r="H114" s="13">
        <v>-9.11</v>
      </c>
      <c r="I114" s="13" t="s">
        <v>59</v>
      </c>
      <c r="J114" s="13" t="s">
        <v>22</v>
      </c>
      <c r="K114" s="13">
        <v>25859.45</v>
      </c>
      <c r="L114" s="130">
        <v>25813.56</v>
      </c>
      <c r="M114" s="13"/>
      <c r="N114" s="50">
        <v>45999.0</v>
      </c>
      <c r="O114" s="46">
        <v>0.9395833333333333</v>
      </c>
      <c r="P114" s="13" t="s">
        <v>458</v>
      </c>
    </row>
    <row r="115" ht="15.75" customHeight="1">
      <c r="A115" s="35" t="s">
        <v>73</v>
      </c>
      <c r="B115" s="36">
        <v>750.0</v>
      </c>
      <c r="C115" s="119"/>
      <c r="D115" s="38"/>
      <c r="E115" s="38"/>
      <c r="F115" s="38"/>
      <c r="G115" s="13" t="s">
        <v>459</v>
      </c>
      <c r="H115" s="13">
        <v>13.6</v>
      </c>
      <c r="I115" s="13" t="s">
        <v>59</v>
      </c>
      <c r="J115" s="13" t="s">
        <v>20</v>
      </c>
      <c r="K115" s="13">
        <v>47924.5</v>
      </c>
      <c r="L115" s="45">
        <v>47987.04</v>
      </c>
      <c r="M115" s="13">
        <v>47849.77</v>
      </c>
      <c r="N115" s="50">
        <v>45999.0</v>
      </c>
      <c r="O115" s="46">
        <v>0.9381944444444444</v>
      </c>
      <c r="P115" s="13"/>
    </row>
    <row r="116" ht="15.75" customHeight="1">
      <c r="A116" s="35" t="s">
        <v>112</v>
      </c>
      <c r="B116" s="15">
        <f>C114-B115</f>
        <v>-733.24</v>
      </c>
      <c r="C116" s="119"/>
      <c r="D116" s="38"/>
      <c r="E116" s="38"/>
      <c r="F116" s="38"/>
      <c r="G116" s="13" t="s">
        <v>459</v>
      </c>
      <c r="H116" s="13">
        <v>1.07</v>
      </c>
      <c r="I116" s="13" t="s">
        <v>59</v>
      </c>
      <c r="J116" s="13" t="s">
        <v>20</v>
      </c>
      <c r="K116" s="129">
        <v>47881.23</v>
      </c>
      <c r="L116" s="130">
        <v>47827.92</v>
      </c>
      <c r="M116" s="129">
        <v>47960.65</v>
      </c>
      <c r="N116" s="50">
        <v>46000.0</v>
      </c>
      <c r="O116" s="46">
        <v>0.9375</v>
      </c>
      <c r="P116" s="13" t="s">
        <v>460</v>
      </c>
    </row>
    <row r="117" ht="15.75" customHeight="1">
      <c r="C117" s="119"/>
      <c r="D117" s="38"/>
      <c r="E117" s="38"/>
      <c r="F117" s="38"/>
      <c r="G117" s="13" t="s">
        <v>459</v>
      </c>
      <c r="H117" s="13">
        <v>11.2</v>
      </c>
      <c r="I117" s="13" t="s">
        <v>59</v>
      </c>
      <c r="J117" s="13" t="s">
        <v>20</v>
      </c>
      <c r="K117" s="13">
        <v>48256.58</v>
      </c>
      <c r="L117" s="45">
        <v>48220.75</v>
      </c>
      <c r="M117" s="45">
        <v>48312.58</v>
      </c>
      <c r="N117" s="50">
        <v>46002.0</v>
      </c>
      <c r="O117" s="46">
        <v>0.9381944444444444</v>
      </c>
      <c r="P117" s="13" t="s">
        <v>462</v>
      </c>
    </row>
    <row r="118" ht="15.75" customHeight="1">
      <c r="C118" s="119"/>
      <c r="D118" s="38"/>
      <c r="E118" s="38"/>
      <c r="F118" s="38"/>
      <c r="G118" s="13"/>
      <c r="H118" s="13"/>
      <c r="I118" s="13"/>
      <c r="J118" s="13"/>
      <c r="K118" s="13"/>
      <c r="L118" s="45"/>
      <c r="M118" s="13"/>
      <c r="N118" s="50"/>
      <c r="O118" s="46"/>
      <c r="P118" s="13"/>
    </row>
    <row r="119" ht="15.75" customHeight="1">
      <c r="C119" s="119"/>
      <c r="D119" s="38"/>
      <c r="E119" s="38"/>
      <c r="F119" s="38"/>
      <c r="G119" s="38"/>
      <c r="H119" s="13"/>
      <c r="I119" s="13"/>
      <c r="J119" s="13"/>
      <c r="K119" s="13"/>
      <c r="L119" s="45"/>
      <c r="M119" s="13"/>
      <c r="N119" s="50"/>
      <c r="O119" s="46"/>
      <c r="P119" s="38"/>
    </row>
    <row r="120" ht="15.75" customHeight="1">
      <c r="C120" s="119"/>
      <c r="D120" s="38"/>
      <c r="E120" s="38"/>
      <c r="F120" s="38"/>
      <c r="G120" s="38"/>
      <c r="H120" s="13"/>
      <c r="I120" s="13"/>
      <c r="J120" s="13"/>
      <c r="K120" s="13"/>
      <c r="L120" s="45"/>
      <c r="M120" s="13"/>
      <c r="N120" s="50"/>
      <c r="O120" s="46"/>
      <c r="P120" s="38"/>
    </row>
    <row r="121" ht="15.75" customHeight="1">
      <c r="C121" s="119"/>
      <c r="D121" s="38"/>
      <c r="E121" s="38"/>
      <c r="F121" s="38"/>
      <c r="G121" s="38"/>
      <c r="H121" s="13"/>
      <c r="I121" s="13"/>
      <c r="J121" s="13"/>
      <c r="K121" s="13"/>
      <c r="L121" s="45"/>
      <c r="M121" s="13"/>
      <c r="N121" s="50"/>
      <c r="O121" s="46"/>
      <c r="P121" s="38"/>
    </row>
    <row r="122" ht="15.75" customHeight="1">
      <c r="C122" s="119"/>
      <c r="D122" s="38"/>
      <c r="E122" s="38"/>
      <c r="F122" s="38"/>
      <c r="G122" s="38"/>
      <c r="H122" s="38"/>
      <c r="I122" s="38"/>
      <c r="J122" s="38"/>
      <c r="K122" s="38"/>
      <c r="L122" s="55"/>
      <c r="M122" s="38"/>
      <c r="N122" s="38"/>
      <c r="O122" s="38"/>
      <c r="P122" s="38"/>
    </row>
    <row r="123" ht="15.75" customHeight="1">
      <c r="C123" s="119"/>
      <c r="D123" s="38"/>
      <c r="E123" s="38"/>
      <c r="F123" s="38"/>
      <c r="G123" s="38"/>
      <c r="H123" s="38"/>
      <c r="I123" s="38"/>
      <c r="J123" s="38"/>
      <c r="K123" s="38"/>
      <c r="L123" s="55"/>
      <c r="M123" s="38"/>
      <c r="N123" s="38"/>
      <c r="O123" s="38"/>
      <c r="P123" s="38"/>
    </row>
    <row r="124" ht="15.75" customHeight="1">
      <c r="C124" s="119"/>
      <c r="D124" s="38"/>
      <c r="E124" s="38"/>
      <c r="F124" s="38"/>
      <c r="G124" s="38"/>
      <c r="H124" s="38"/>
      <c r="I124" s="38"/>
      <c r="J124" s="38"/>
      <c r="K124" s="38"/>
      <c r="L124" s="55"/>
      <c r="M124" s="38"/>
      <c r="N124" s="38"/>
      <c r="O124" s="38"/>
      <c r="P124" s="38"/>
    </row>
    <row r="125" ht="15.75" customHeight="1">
      <c r="C125" s="119"/>
      <c r="D125" s="38"/>
      <c r="E125" s="38"/>
      <c r="F125" s="38"/>
      <c r="G125" s="38"/>
      <c r="H125" s="38"/>
      <c r="I125" s="38"/>
      <c r="J125" s="38"/>
      <c r="K125" s="38"/>
      <c r="L125" s="55"/>
      <c r="M125" s="38"/>
      <c r="N125" s="38"/>
      <c r="O125" s="38"/>
      <c r="P125" s="38"/>
    </row>
    <row r="126" ht="15.75" customHeight="1">
      <c r="C126" s="119"/>
      <c r="D126" s="38"/>
      <c r="E126" s="38"/>
      <c r="F126" s="38"/>
      <c r="G126" s="38"/>
      <c r="H126" s="38"/>
      <c r="I126" s="38"/>
      <c r="J126" s="38"/>
      <c r="K126" s="38"/>
      <c r="L126" s="55"/>
      <c r="M126" s="38"/>
      <c r="N126" s="38"/>
      <c r="O126" s="38"/>
      <c r="P126" s="38"/>
    </row>
    <row r="127" ht="15.75" customHeight="1">
      <c r="C127" s="119"/>
      <c r="D127" s="38"/>
      <c r="E127" s="38"/>
      <c r="F127" s="38"/>
      <c r="G127" s="38"/>
      <c r="H127" s="38"/>
      <c r="I127" s="38"/>
      <c r="J127" s="38"/>
      <c r="K127" s="38"/>
      <c r="L127" s="55"/>
      <c r="M127" s="38"/>
      <c r="N127" s="38"/>
      <c r="O127" s="38"/>
      <c r="P127" s="38"/>
    </row>
    <row r="128" ht="15.75" customHeight="1">
      <c r="C128" s="119"/>
      <c r="D128" s="38"/>
      <c r="E128" s="38"/>
      <c r="F128" s="38"/>
      <c r="G128" s="38"/>
      <c r="H128" s="38"/>
      <c r="I128" s="38"/>
      <c r="J128" s="38"/>
      <c r="K128" s="38"/>
      <c r="L128" s="55"/>
      <c r="M128" s="38"/>
      <c r="N128" s="38"/>
      <c r="O128" s="38"/>
      <c r="P128" s="38"/>
    </row>
    <row r="129" ht="15.75" customHeight="1">
      <c r="C129" s="119"/>
      <c r="D129" s="38"/>
      <c r="E129" s="38"/>
      <c r="F129" s="38"/>
      <c r="G129" s="38"/>
      <c r="H129" s="38"/>
      <c r="I129" s="38"/>
      <c r="J129" s="38"/>
      <c r="K129" s="38"/>
      <c r="L129" s="55"/>
      <c r="M129" s="38"/>
      <c r="N129" s="38"/>
      <c r="O129" s="38"/>
      <c r="P129" s="38"/>
    </row>
    <row r="130" ht="15.75" customHeight="1">
      <c r="D130" s="38"/>
      <c r="E130" s="38"/>
      <c r="F130" s="38"/>
      <c r="G130" s="38"/>
      <c r="H130" s="38"/>
      <c r="I130" s="38"/>
      <c r="J130" s="38"/>
      <c r="K130" s="38"/>
      <c r="L130" s="55"/>
      <c r="M130" s="38"/>
      <c r="N130" s="38"/>
      <c r="O130" s="38"/>
      <c r="P130" s="38"/>
    </row>
    <row r="131" ht="15.75" customHeight="1">
      <c r="A131" s="141" t="s">
        <v>432</v>
      </c>
      <c r="B131" s="142"/>
      <c r="C131" s="44">
        <f>SUM(H131:H146)</f>
        <v>122.92</v>
      </c>
      <c r="D131" s="24"/>
      <c r="E131" s="38"/>
      <c r="F131" s="24"/>
      <c r="G131" s="13" t="s">
        <v>459</v>
      </c>
      <c r="H131" s="13">
        <v>182.0</v>
      </c>
      <c r="I131" s="13" t="s">
        <v>59</v>
      </c>
      <c r="J131" s="13" t="s">
        <v>20</v>
      </c>
      <c r="K131" s="13">
        <v>48686.76</v>
      </c>
      <c r="L131" s="45">
        <v>48712.31</v>
      </c>
      <c r="M131" s="45">
        <v>48644.91</v>
      </c>
      <c r="N131" s="50">
        <v>46006.0</v>
      </c>
      <c r="O131" s="46">
        <v>0.9395833333333333</v>
      </c>
      <c r="P131" s="13" t="s">
        <v>463</v>
      </c>
    </row>
    <row r="132" ht="15.75" customHeight="1">
      <c r="A132" s="35" t="s">
        <v>73</v>
      </c>
      <c r="B132" s="36">
        <v>750.0</v>
      </c>
      <c r="C132" s="119"/>
      <c r="D132" s="38"/>
      <c r="E132" s="38"/>
      <c r="F132" s="38"/>
      <c r="G132" s="13" t="s">
        <v>454</v>
      </c>
      <c r="H132" s="13">
        <v>-78.4</v>
      </c>
      <c r="I132" s="13" t="s">
        <v>59</v>
      </c>
      <c r="J132" s="13" t="s">
        <v>20</v>
      </c>
      <c r="K132" s="13">
        <v>48346.47</v>
      </c>
      <c r="L132" s="45">
        <v>48391.64</v>
      </c>
      <c r="M132" s="13"/>
      <c r="N132" s="50">
        <v>46007.0</v>
      </c>
      <c r="O132" s="46">
        <v>0.9458333333333333</v>
      </c>
      <c r="P132" s="38"/>
    </row>
    <row r="133" ht="15.75" customHeight="1">
      <c r="A133" s="35" t="s">
        <v>112</v>
      </c>
      <c r="B133" s="15">
        <f>C131-B132</f>
        <v>-627.08</v>
      </c>
      <c r="C133" s="119"/>
      <c r="D133" s="38"/>
      <c r="E133" s="38"/>
      <c r="F133" s="38"/>
      <c r="G133" s="13" t="s">
        <v>464</v>
      </c>
      <c r="H133" s="13">
        <v>61.32</v>
      </c>
      <c r="I133" s="13" t="s">
        <v>59</v>
      </c>
      <c r="J133" s="13" t="s">
        <v>22</v>
      </c>
      <c r="K133" s="129">
        <v>25116.3</v>
      </c>
      <c r="L133" s="130">
        <v>25068.82</v>
      </c>
      <c r="M133" s="129">
        <v>25180.22</v>
      </c>
      <c r="N133" s="50">
        <v>46007.0</v>
      </c>
      <c r="O133" s="46">
        <v>0.9506944444444444</v>
      </c>
      <c r="P133" s="38"/>
    </row>
    <row r="134" ht="15.75" customHeight="1">
      <c r="C134" s="119"/>
      <c r="D134" s="38"/>
      <c r="E134" s="38"/>
      <c r="F134" s="38"/>
      <c r="G134" s="13" t="s">
        <v>464</v>
      </c>
      <c r="H134" s="13">
        <v>27.51</v>
      </c>
      <c r="I134" s="13" t="s">
        <v>59</v>
      </c>
      <c r="J134" s="13" t="s">
        <v>20</v>
      </c>
      <c r="K134" s="13">
        <v>48316.87</v>
      </c>
      <c r="L134" s="13">
        <v>48289.5</v>
      </c>
      <c r="M134" s="45">
        <v>48340.81</v>
      </c>
      <c r="N134" s="50">
        <v>46008.0</v>
      </c>
      <c r="O134" s="46">
        <v>0.9381944444444444</v>
      </c>
      <c r="P134" s="13" t="s">
        <v>465</v>
      </c>
    </row>
    <row r="135" ht="15.75" customHeight="1">
      <c r="C135" s="119"/>
      <c r="D135" s="38"/>
      <c r="E135" s="38"/>
      <c r="F135" s="38"/>
      <c r="G135" s="13" t="s">
        <v>459</v>
      </c>
      <c r="H135" s="13">
        <v>-69.51</v>
      </c>
      <c r="I135" s="13" t="s">
        <v>59</v>
      </c>
      <c r="J135" s="13" t="s">
        <v>20</v>
      </c>
      <c r="K135" s="13">
        <v>48272.39</v>
      </c>
      <c r="L135" s="45">
        <v>48231.84</v>
      </c>
      <c r="M135" s="13">
        <v>48404.39</v>
      </c>
      <c r="N135" s="50">
        <v>46009.0</v>
      </c>
      <c r="O135" s="46">
        <v>0.9375</v>
      </c>
      <c r="P135" s="38"/>
    </row>
    <row r="136" ht="15.75" customHeight="1">
      <c r="C136" s="119"/>
      <c r="D136" s="38"/>
      <c r="E136" s="38"/>
      <c r="F136" s="38"/>
      <c r="G136" s="38"/>
      <c r="H136" s="13"/>
      <c r="I136" s="13"/>
      <c r="J136" s="13"/>
      <c r="K136" s="13"/>
      <c r="L136" s="45"/>
      <c r="M136" s="13"/>
      <c r="N136" s="50"/>
      <c r="O136" s="46"/>
      <c r="P136" s="38"/>
    </row>
    <row r="137" ht="15.75" customHeight="1">
      <c r="C137" s="119"/>
      <c r="D137" s="38"/>
      <c r="E137" s="38"/>
      <c r="F137" s="38"/>
      <c r="G137" s="38"/>
      <c r="H137" s="13"/>
      <c r="I137" s="13"/>
      <c r="J137" s="13"/>
      <c r="K137" s="13"/>
      <c r="L137" s="45"/>
      <c r="M137" s="13"/>
      <c r="N137" s="50"/>
      <c r="O137" s="46"/>
      <c r="P137" s="38"/>
    </row>
    <row r="138" ht="15.75" customHeight="1">
      <c r="C138" s="119"/>
      <c r="D138" s="38"/>
      <c r="E138" s="38"/>
      <c r="F138" s="38"/>
      <c r="G138" s="38"/>
      <c r="H138" s="13"/>
      <c r="I138" s="13"/>
      <c r="J138" s="13"/>
      <c r="K138" s="13"/>
      <c r="L138" s="45"/>
      <c r="M138" s="13"/>
      <c r="N138" s="50"/>
      <c r="O138" s="46"/>
      <c r="P138" s="38"/>
    </row>
    <row r="139" ht="15.75" customHeight="1">
      <c r="C139" s="119"/>
      <c r="D139" s="38"/>
      <c r="E139" s="38"/>
      <c r="F139" s="38"/>
      <c r="G139" s="38"/>
      <c r="H139" s="38"/>
      <c r="I139" s="38"/>
      <c r="J139" s="38"/>
      <c r="K139" s="38"/>
      <c r="L139" s="55"/>
      <c r="M139" s="38"/>
      <c r="N139" s="38"/>
      <c r="O139" s="38"/>
      <c r="P139" s="38"/>
    </row>
    <row r="140" ht="15.75" customHeight="1">
      <c r="C140" s="119"/>
      <c r="D140" s="38"/>
      <c r="E140" s="38"/>
      <c r="F140" s="38"/>
      <c r="G140" s="38"/>
      <c r="H140" s="38"/>
      <c r="I140" s="38"/>
      <c r="J140" s="38"/>
      <c r="K140" s="38"/>
      <c r="L140" s="55"/>
      <c r="M140" s="38"/>
      <c r="N140" s="38"/>
      <c r="O140" s="38"/>
      <c r="P140" s="38"/>
    </row>
    <row r="141" ht="15.75" customHeight="1">
      <c r="C141" s="119"/>
      <c r="D141" s="38"/>
      <c r="E141" s="38"/>
      <c r="F141" s="38"/>
      <c r="G141" s="38"/>
      <c r="H141" s="38"/>
      <c r="I141" s="38"/>
      <c r="J141" s="38"/>
      <c r="K141" s="38"/>
      <c r="L141" s="55"/>
      <c r="M141" s="38"/>
      <c r="N141" s="38"/>
      <c r="O141" s="38"/>
      <c r="P141" s="38"/>
    </row>
    <row r="142" ht="15.75" customHeight="1">
      <c r="C142" s="119"/>
      <c r="D142" s="38"/>
      <c r="E142" s="38"/>
      <c r="F142" s="38"/>
      <c r="G142" s="38"/>
      <c r="H142" s="38"/>
      <c r="I142" s="38"/>
      <c r="J142" s="38"/>
      <c r="K142" s="38"/>
      <c r="L142" s="55"/>
      <c r="M142" s="38"/>
      <c r="N142" s="38"/>
      <c r="O142" s="38"/>
      <c r="P142" s="38"/>
    </row>
    <row r="143" ht="15.75" customHeight="1">
      <c r="C143" s="119"/>
      <c r="D143" s="38"/>
      <c r="E143" s="38"/>
      <c r="F143" s="38"/>
      <c r="G143" s="38"/>
      <c r="H143" s="38"/>
      <c r="I143" s="38"/>
      <c r="J143" s="38"/>
      <c r="K143" s="38"/>
      <c r="L143" s="55"/>
      <c r="M143" s="38"/>
      <c r="N143" s="38"/>
      <c r="O143" s="38"/>
      <c r="P143" s="38"/>
    </row>
    <row r="144" ht="15.75" customHeight="1">
      <c r="C144" s="119"/>
      <c r="D144" s="38"/>
      <c r="E144" s="38"/>
      <c r="F144" s="38"/>
      <c r="G144" s="38"/>
      <c r="H144" s="38"/>
      <c r="I144" s="38"/>
      <c r="J144" s="38"/>
      <c r="K144" s="38"/>
      <c r="L144" s="55"/>
      <c r="M144" s="38"/>
      <c r="N144" s="38"/>
      <c r="O144" s="38"/>
      <c r="P144" s="38"/>
    </row>
    <row r="145" ht="15.75" customHeight="1">
      <c r="C145" s="119"/>
      <c r="D145" s="38"/>
      <c r="E145" s="38"/>
      <c r="F145" s="38"/>
      <c r="G145" s="38"/>
      <c r="H145" s="38"/>
      <c r="I145" s="38"/>
      <c r="J145" s="38"/>
      <c r="K145" s="38"/>
      <c r="L145" s="55"/>
      <c r="M145" s="38"/>
      <c r="N145" s="38"/>
      <c r="O145" s="38"/>
      <c r="P145" s="38"/>
    </row>
    <row r="146" ht="15.75" customHeight="1">
      <c r="C146" s="119"/>
      <c r="D146" s="38"/>
      <c r="E146" s="38"/>
      <c r="F146" s="38"/>
      <c r="G146" s="38"/>
      <c r="H146" s="38"/>
      <c r="I146" s="38"/>
      <c r="J146" s="38"/>
      <c r="K146" s="38"/>
      <c r="L146" s="55"/>
      <c r="M146" s="38"/>
      <c r="N146" s="38"/>
      <c r="O146" s="38"/>
      <c r="P146" s="38"/>
    </row>
    <row r="147" ht="15.75" customHeight="1">
      <c r="D147" s="38"/>
      <c r="E147" s="38"/>
      <c r="F147" s="38"/>
      <c r="G147" s="38"/>
      <c r="H147" s="38"/>
      <c r="I147" s="38"/>
      <c r="J147" s="38"/>
      <c r="K147" s="38"/>
      <c r="L147" s="55"/>
      <c r="M147" s="38"/>
      <c r="N147" s="38"/>
      <c r="O147" s="38"/>
      <c r="P147" s="38"/>
    </row>
    <row r="148" ht="15.75" customHeight="1">
      <c r="D148" s="38"/>
      <c r="E148" s="38"/>
      <c r="F148" s="38"/>
      <c r="G148" s="38"/>
      <c r="H148" s="38"/>
      <c r="I148" s="38"/>
      <c r="J148" s="38"/>
      <c r="K148" s="38"/>
      <c r="L148" s="55"/>
      <c r="M148" s="38"/>
      <c r="N148" s="38"/>
      <c r="O148" s="38"/>
      <c r="P148" s="38"/>
    </row>
    <row r="149" ht="15.75" customHeight="1">
      <c r="A149" s="141" t="s">
        <v>432</v>
      </c>
      <c r="B149" s="142"/>
      <c r="C149" s="44">
        <f>SUM(H149:H164)</f>
        <v>94</v>
      </c>
      <c r="D149" s="24"/>
      <c r="E149" s="38"/>
      <c r="F149" s="24"/>
      <c r="G149" s="13" t="s">
        <v>459</v>
      </c>
      <c r="H149" s="13">
        <v>116.0</v>
      </c>
      <c r="I149" s="13" t="s">
        <v>59</v>
      </c>
      <c r="J149" s="13" t="s">
        <v>20</v>
      </c>
      <c r="K149" s="13">
        <v>48302.9</v>
      </c>
      <c r="L149" s="45">
        <v>48712.31</v>
      </c>
      <c r="M149" s="45">
        <v>48364.67</v>
      </c>
      <c r="N149" s="50">
        <v>46013.0</v>
      </c>
      <c r="O149" s="46">
        <v>0.9375</v>
      </c>
      <c r="P149" s="13" t="s">
        <v>472</v>
      </c>
    </row>
    <row r="150" ht="15.75" customHeight="1">
      <c r="A150" s="35" t="s">
        <v>73</v>
      </c>
      <c r="B150" s="36">
        <v>750.0</v>
      </c>
      <c r="C150" s="119"/>
      <c r="D150" s="38"/>
      <c r="E150" s="38"/>
      <c r="F150" s="38"/>
      <c r="O150" s="46"/>
      <c r="P150" s="13" t="s">
        <v>473</v>
      </c>
    </row>
    <row r="151" ht="47.25" customHeight="1">
      <c r="A151" s="35" t="s">
        <v>112</v>
      </c>
      <c r="B151" s="15">
        <f>C149-B150</f>
        <v>-656</v>
      </c>
      <c r="C151" s="119"/>
      <c r="D151" s="38"/>
      <c r="E151" s="38"/>
      <c r="F151" s="38"/>
      <c r="G151" s="13" t="s">
        <v>459</v>
      </c>
      <c r="H151" s="13">
        <v>-22.0</v>
      </c>
      <c r="I151" s="13" t="s">
        <v>59</v>
      </c>
      <c r="J151" s="13" t="s">
        <v>20</v>
      </c>
      <c r="K151" s="13">
        <v>48519.21</v>
      </c>
      <c r="L151" s="45">
        <v>48498.95</v>
      </c>
      <c r="M151" s="13">
        <v>48570.18</v>
      </c>
      <c r="N151" s="50">
        <v>46014.0</v>
      </c>
      <c r="O151" s="46">
        <v>0.9381944444444444</v>
      </c>
      <c r="P151" s="13" t="s">
        <v>474</v>
      </c>
    </row>
    <row r="152" ht="15.75" customHeight="1">
      <c r="C152" s="119"/>
      <c r="D152" s="38"/>
      <c r="E152" s="38"/>
      <c r="F152" s="38"/>
      <c r="G152" s="13"/>
      <c r="H152" s="13"/>
      <c r="I152" s="13"/>
      <c r="J152" s="13"/>
      <c r="K152" s="13"/>
      <c r="L152" s="13"/>
      <c r="M152" s="45"/>
      <c r="N152" s="50"/>
      <c r="O152" s="46"/>
      <c r="P152" s="13"/>
    </row>
    <row r="153" ht="15.75" customHeight="1">
      <c r="C153" s="119"/>
      <c r="D153" s="38"/>
      <c r="E153" s="38"/>
      <c r="F153" s="38"/>
      <c r="G153" s="13"/>
      <c r="H153" s="13"/>
      <c r="I153" s="13"/>
      <c r="J153" s="13"/>
      <c r="K153" s="13"/>
      <c r="L153" s="45"/>
      <c r="M153" s="13"/>
      <c r="N153" s="50"/>
      <c r="O153" s="46"/>
      <c r="P153" s="38"/>
    </row>
    <row r="154" ht="15.75" customHeight="1">
      <c r="C154" s="119"/>
      <c r="D154" s="38"/>
      <c r="E154" s="38"/>
      <c r="F154" s="38"/>
      <c r="G154" s="38"/>
      <c r="H154" s="13"/>
      <c r="I154" s="13"/>
      <c r="J154" s="13"/>
      <c r="K154" s="13"/>
      <c r="L154" s="45"/>
      <c r="M154" s="13"/>
      <c r="N154" s="50"/>
      <c r="O154" s="46"/>
      <c r="P154" s="38"/>
    </row>
    <row r="155" ht="15.75" customHeight="1">
      <c r="C155" s="119"/>
      <c r="D155" s="38"/>
      <c r="E155" s="38"/>
      <c r="F155" s="38"/>
      <c r="G155" s="38"/>
      <c r="H155" s="13"/>
      <c r="I155" s="13"/>
      <c r="J155" s="13"/>
      <c r="K155" s="13"/>
      <c r="L155" s="45"/>
      <c r="M155" s="13"/>
      <c r="N155" s="50"/>
      <c r="O155" s="46"/>
      <c r="P155" s="38"/>
    </row>
    <row r="156" ht="15.75" customHeight="1">
      <c r="C156" s="119"/>
      <c r="D156" s="38"/>
      <c r="E156" s="38"/>
      <c r="F156" s="38"/>
      <c r="G156" s="38"/>
      <c r="H156" s="13"/>
      <c r="I156" s="13"/>
      <c r="J156" s="13"/>
      <c r="K156" s="13"/>
      <c r="L156" s="45"/>
      <c r="M156" s="13"/>
      <c r="N156" s="50"/>
      <c r="O156" s="46"/>
      <c r="P156" s="38"/>
    </row>
    <row r="157" ht="15.75" customHeight="1">
      <c r="C157" s="119"/>
      <c r="D157" s="38"/>
      <c r="E157" s="38"/>
      <c r="F157" s="38"/>
      <c r="G157" s="38"/>
      <c r="H157" s="38"/>
      <c r="I157" s="38"/>
      <c r="J157" s="38"/>
      <c r="K157" s="38"/>
      <c r="L157" s="55"/>
      <c r="M157" s="38"/>
      <c r="N157" s="38"/>
      <c r="O157" s="38"/>
      <c r="P157" s="38"/>
    </row>
    <row r="158" ht="15.75" customHeight="1">
      <c r="C158" s="119"/>
      <c r="D158" s="38"/>
      <c r="E158" s="38"/>
      <c r="F158" s="38"/>
      <c r="G158" s="38"/>
      <c r="H158" s="38"/>
      <c r="I158" s="38"/>
      <c r="J158" s="38"/>
      <c r="K158" s="38"/>
      <c r="L158" s="55"/>
      <c r="M158" s="38"/>
      <c r="N158" s="38"/>
      <c r="O158" s="38"/>
      <c r="P158" s="38"/>
    </row>
    <row r="159" ht="15.75" customHeight="1">
      <c r="C159" s="119"/>
      <c r="D159" s="38"/>
      <c r="E159" s="38"/>
      <c r="F159" s="38"/>
      <c r="G159" s="38"/>
      <c r="H159" s="38"/>
      <c r="I159" s="38"/>
      <c r="J159" s="38"/>
      <c r="K159" s="38"/>
      <c r="L159" s="55"/>
      <c r="M159" s="38"/>
      <c r="N159" s="38"/>
      <c r="O159" s="38"/>
      <c r="P159" s="38"/>
    </row>
    <row r="160" ht="15.75" customHeight="1">
      <c r="C160" s="119"/>
      <c r="D160" s="38"/>
      <c r="E160" s="38"/>
      <c r="F160" s="38"/>
      <c r="G160" s="38"/>
      <c r="H160" s="38"/>
      <c r="I160" s="38"/>
      <c r="J160" s="38"/>
      <c r="K160" s="38"/>
      <c r="L160" s="55"/>
      <c r="M160" s="38"/>
      <c r="N160" s="38"/>
      <c r="O160" s="38"/>
      <c r="P160" s="38"/>
    </row>
    <row r="161" ht="15.75" customHeight="1">
      <c r="C161" s="119"/>
      <c r="D161" s="38"/>
      <c r="E161" s="38"/>
      <c r="F161" s="38"/>
      <c r="G161" s="38"/>
      <c r="H161" s="38"/>
      <c r="I161" s="38"/>
      <c r="J161" s="38"/>
      <c r="K161" s="38"/>
      <c r="L161" s="55"/>
      <c r="M161" s="38"/>
      <c r="N161" s="38"/>
      <c r="O161" s="38"/>
      <c r="P161" s="38"/>
    </row>
    <row r="162" ht="15.75" customHeight="1">
      <c r="C162" s="119"/>
      <c r="D162" s="38"/>
      <c r="E162" s="38"/>
      <c r="F162" s="38"/>
      <c r="G162" s="38"/>
      <c r="H162" s="38"/>
      <c r="I162" s="38"/>
      <c r="J162" s="38"/>
      <c r="K162" s="38"/>
      <c r="L162" s="55"/>
      <c r="M162" s="38"/>
      <c r="N162" s="38"/>
      <c r="O162" s="38"/>
      <c r="P162" s="38"/>
    </row>
    <row r="163" ht="15.75" customHeight="1">
      <c r="C163" s="119"/>
      <c r="D163" s="38"/>
      <c r="E163" s="38"/>
      <c r="F163" s="38"/>
      <c r="G163" s="38"/>
      <c r="H163" s="38"/>
      <c r="I163" s="38"/>
      <c r="J163" s="38"/>
      <c r="K163" s="38"/>
      <c r="L163" s="55"/>
      <c r="M163" s="38"/>
      <c r="N163" s="38"/>
      <c r="O163" s="38"/>
      <c r="P163" s="38"/>
    </row>
    <row r="164" ht="15.75" customHeight="1">
      <c r="C164" s="119"/>
      <c r="D164" s="38"/>
      <c r="E164" s="38"/>
      <c r="F164" s="38"/>
      <c r="G164" s="38"/>
      <c r="H164" s="38"/>
      <c r="I164" s="38"/>
      <c r="J164" s="38"/>
      <c r="K164" s="38"/>
      <c r="L164" s="55"/>
      <c r="M164" s="38"/>
      <c r="N164" s="38"/>
      <c r="O164" s="38"/>
      <c r="P164" s="38"/>
    </row>
    <row r="165" ht="15.75" customHeight="1">
      <c r="D165" s="38"/>
      <c r="E165" s="38"/>
      <c r="F165" s="38"/>
      <c r="G165" s="38"/>
      <c r="H165" s="38"/>
      <c r="I165" s="38"/>
      <c r="J165" s="38"/>
      <c r="K165" s="38"/>
      <c r="L165" s="55"/>
      <c r="M165" s="38"/>
      <c r="N165" s="38"/>
      <c r="O165" s="38"/>
      <c r="P165" s="38"/>
    </row>
    <row r="166" ht="15.75" customHeight="1">
      <c r="D166" s="38"/>
      <c r="E166" s="38"/>
      <c r="F166" s="38"/>
      <c r="G166" s="38"/>
      <c r="H166" s="38"/>
      <c r="I166" s="38"/>
      <c r="J166" s="38"/>
      <c r="K166" s="38"/>
      <c r="L166" s="55"/>
      <c r="M166" s="38"/>
      <c r="N166" s="38"/>
      <c r="O166" s="38"/>
      <c r="P166" s="38"/>
    </row>
    <row r="167" ht="15.75" customHeight="1">
      <c r="A167" s="141" t="s">
        <v>432</v>
      </c>
      <c r="B167" s="142"/>
      <c r="C167" s="44">
        <f>SUM(H167:H182)</f>
        <v>-119</v>
      </c>
      <c r="D167" s="24"/>
      <c r="E167" s="38"/>
      <c r="F167" s="24"/>
      <c r="G167" s="13" t="s">
        <v>464</v>
      </c>
      <c r="H167" s="13">
        <v>-145.88</v>
      </c>
      <c r="I167" s="13" t="s">
        <v>59</v>
      </c>
      <c r="J167" s="13" t="s">
        <v>20</v>
      </c>
      <c r="K167" s="13">
        <v>48737.9</v>
      </c>
      <c r="L167" s="45">
        <v>48706.14</v>
      </c>
      <c r="M167" s="45">
        <v>48777.27</v>
      </c>
      <c r="N167" s="50">
        <v>46020.0</v>
      </c>
      <c r="O167" s="46">
        <v>0.9381944444444444</v>
      </c>
      <c r="P167" s="13" t="s">
        <v>476</v>
      </c>
    </row>
    <row r="168" ht="15.75" customHeight="1">
      <c r="A168" s="35" t="s">
        <v>73</v>
      </c>
      <c r="B168" s="36">
        <v>750.0</v>
      </c>
      <c r="C168" s="119"/>
      <c r="D168" s="38"/>
      <c r="E168" s="38"/>
      <c r="F168" s="38"/>
      <c r="G168" s="13" t="s">
        <v>454</v>
      </c>
      <c r="H168" s="13">
        <v>26.88</v>
      </c>
      <c r="I168" s="13" t="s">
        <v>59</v>
      </c>
      <c r="J168" s="13" t="s">
        <v>22</v>
      </c>
      <c r="K168" s="13">
        <v>25608.35</v>
      </c>
      <c r="L168" s="3">
        <v>25579.65</v>
      </c>
      <c r="M168" s="3">
        <v>25629.18</v>
      </c>
      <c r="N168" s="61">
        <v>46020.0</v>
      </c>
      <c r="O168" s="46">
        <v>0.9416666666666667</v>
      </c>
      <c r="P168" s="13" t="s">
        <v>477</v>
      </c>
    </row>
    <row r="169" ht="15.75" customHeight="1">
      <c r="A169" s="35" t="s">
        <v>112</v>
      </c>
      <c r="B169" s="15">
        <f>C167-B168</f>
        <v>-869</v>
      </c>
      <c r="C169" s="119"/>
      <c r="D169" s="38"/>
      <c r="E169" s="38"/>
      <c r="F169" s="38"/>
      <c r="G169" s="13"/>
      <c r="H169" s="13"/>
      <c r="I169" s="13"/>
      <c r="J169" s="13"/>
      <c r="K169" s="13"/>
      <c r="L169" s="45"/>
      <c r="M169" s="13"/>
      <c r="N169" s="50"/>
      <c r="O169" s="46"/>
      <c r="P169" s="3" t="s">
        <v>478</v>
      </c>
    </row>
    <row r="170" ht="15.75" customHeight="1">
      <c r="C170" s="119"/>
      <c r="D170" s="38"/>
      <c r="E170" s="38"/>
      <c r="F170" s="38"/>
      <c r="G170" s="13"/>
      <c r="H170" s="13"/>
      <c r="I170" s="13"/>
      <c r="J170" s="13"/>
      <c r="K170" s="13"/>
      <c r="L170" s="13"/>
      <c r="M170" s="45"/>
      <c r="N170" s="50"/>
      <c r="O170" s="46"/>
      <c r="P170" s="38"/>
    </row>
    <row r="171" ht="15.75" customHeight="1">
      <c r="C171" s="119"/>
      <c r="D171" s="38"/>
      <c r="E171" s="38"/>
      <c r="F171" s="38"/>
      <c r="G171" s="13"/>
      <c r="H171" s="13"/>
      <c r="I171" s="13"/>
      <c r="J171" s="13"/>
      <c r="K171" s="13"/>
      <c r="L171" s="45"/>
      <c r="M171" s="13"/>
      <c r="N171" s="50"/>
      <c r="O171" s="46"/>
      <c r="P171" s="38"/>
    </row>
    <row r="172" ht="15.75" customHeight="1">
      <c r="C172" s="119"/>
      <c r="D172" s="38"/>
      <c r="E172" s="38"/>
      <c r="F172" s="38"/>
      <c r="G172" s="38"/>
      <c r="H172" s="13"/>
      <c r="I172" s="13"/>
      <c r="J172" s="13"/>
      <c r="K172" s="13"/>
      <c r="L172" s="45"/>
      <c r="M172" s="13"/>
      <c r="N172" s="50"/>
      <c r="O172" s="46"/>
      <c r="P172" s="38"/>
    </row>
    <row r="173" ht="15.75" customHeight="1">
      <c r="C173" s="119"/>
      <c r="D173" s="38"/>
      <c r="E173" s="38"/>
      <c r="F173" s="38"/>
      <c r="G173" s="38"/>
      <c r="H173" s="13"/>
      <c r="I173" s="13"/>
      <c r="J173" s="13"/>
      <c r="K173" s="13"/>
      <c r="L173" s="45"/>
      <c r="M173" s="13"/>
      <c r="N173" s="50"/>
      <c r="O173" s="46"/>
      <c r="P173" s="38"/>
    </row>
    <row r="174" ht="15.75" customHeight="1">
      <c r="C174" s="119"/>
      <c r="D174" s="38"/>
      <c r="E174" s="38"/>
      <c r="F174" s="38"/>
      <c r="G174" s="38"/>
      <c r="H174" s="13"/>
      <c r="I174" s="13"/>
      <c r="J174" s="13"/>
      <c r="K174" s="13"/>
      <c r="L174" s="45"/>
      <c r="M174" s="13"/>
      <c r="N174" s="50"/>
      <c r="O174" s="46"/>
      <c r="P174" s="38"/>
    </row>
    <row r="175" ht="15.75" customHeight="1">
      <c r="C175" s="119"/>
      <c r="D175" s="38"/>
      <c r="E175" s="38"/>
      <c r="F175" s="38"/>
      <c r="G175" s="38"/>
      <c r="H175" s="38"/>
      <c r="I175" s="38"/>
      <c r="J175" s="38"/>
      <c r="K175" s="38"/>
      <c r="L175" s="55"/>
      <c r="M175" s="38"/>
      <c r="N175" s="38"/>
      <c r="O175" s="38"/>
      <c r="P175" s="38"/>
    </row>
    <row r="176" ht="15.75" customHeight="1">
      <c r="C176" s="119"/>
      <c r="D176" s="38"/>
      <c r="E176" s="38"/>
      <c r="F176" s="38"/>
      <c r="G176" s="38"/>
      <c r="H176" s="38"/>
      <c r="I176" s="38"/>
      <c r="J176" s="38"/>
      <c r="K176" s="38"/>
      <c r="L176" s="55"/>
      <c r="M176" s="38"/>
      <c r="N176" s="38"/>
      <c r="O176" s="38"/>
      <c r="P176" s="38"/>
    </row>
    <row r="177" ht="15.75" customHeight="1">
      <c r="C177" s="119"/>
      <c r="D177" s="38"/>
      <c r="E177" s="38"/>
      <c r="F177" s="38"/>
      <c r="G177" s="38"/>
      <c r="H177" s="38"/>
      <c r="I177" s="38"/>
      <c r="J177" s="38"/>
      <c r="K177" s="38"/>
      <c r="L177" s="55"/>
      <c r="M177" s="38"/>
      <c r="N177" s="38"/>
      <c r="O177" s="38"/>
      <c r="P177" s="38"/>
    </row>
    <row r="178" ht="15.75" customHeight="1">
      <c r="C178" s="119"/>
      <c r="D178" s="38"/>
      <c r="E178" s="38"/>
      <c r="F178" s="38"/>
      <c r="G178" s="38"/>
      <c r="H178" s="38"/>
      <c r="I178" s="38"/>
      <c r="J178" s="38"/>
      <c r="K178" s="38"/>
      <c r="L178" s="55"/>
      <c r="M178" s="38"/>
      <c r="N178" s="38"/>
      <c r="O178" s="38"/>
      <c r="P178" s="38"/>
    </row>
    <row r="179" ht="15.75" customHeight="1">
      <c r="C179" s="119"/>
      <c r="D179" s="38"/>
      <c r="E179" s="38"/>
      <c r="F179" s="38"/>
      <c r="G179" s="38"/>
      <c r="H179" s="38"/>
      <c r="I179" s="38"/>
      <c r="J179" s="38"/>
      <c r="K179" s="38"/>
      <c r="L179" s="55"/>
      <c r="M179" s="38"/>
      <c r="N179" s="38"/>
      <c r="O179" s="38"/>
      <c r="P179" s="38"/>
    </row>
    <row r="180" ht="15.75" customHeight="1">
      <c r="C180" s="119"/>
      <c r="D180" s="38"/>
      <c r="E180" s="38"/>
      <c r="F180" s="38"/>
      <c r="G180" s="38"/>
      <c r="H180" s="38"/>
      <c r="I180" s="38"/>
      <c r="J180" s="38"/>
      <c r="K180" s="38"/>
      <c r="L180" s="55"/>
      <c r="M180" s="38"/>
      <c r="N180" s="38"/>
      <c r="O180" s="38"/>
      <c r="P180" s="38"/>
    </row>
    <row r="181" ht="15.75" customHeight="1">
      <c r="C181" s="119"/>
      <c r="D181" s="38"/>
      <c r="E181" s="38"/>
      <c r="F181" s="38"/>
      <c r="G181" s="38"/>
      <c r="H181" s="38"/>
      <c r="I181" s="38"/>
      <c r="J181" s="38"/>
      <c r="K181" s="38"/>
      <c r="L181" s="55"/>
      <c r="M181" s="38"/>
      <c r="N181" s="38"/>
      <c r="O181" s="38"/>
      <c r="P181" s="38"/>
    </row>
    <row r="182" ht="15.75" customHeight="1">
      <c r="C182" s="119"/>
      <c r="D182" s="38"/>
      <c r="E182" s="38"/>
      <c r="F182" s="38"/>
      <c r="G182" s="38"/>
      <c r="H182" s="38"/>
      <c r="I182" s="38"/>
      <c r="J182" s="38"/>
      <c r="K182" s="38"/>
      <c r="L182" s="55"/>
      <c r="M182" s="38"/>
      <c r="N182" s="38"/>
      <c r="O182" s="38"/>
      <c r="P182" s="38"/>
    </row>
    <row r="183" ht="15.75" customHeight="1">
      <c r="D183" s="38"/>
      <c r="E183" s="38"/>
      <c r="F183" s="38"/>
      <c r="G183" s="38"/>
      <c r="H183" s="38"/>
      <c r="I183" s="38"/>
      <c r="J183" s="38"/>
      <c r="K183" s="38"/>
      <c r="L183" s="55"/>
      <c r="M183" s="38"/>
      <c r="N183" s="38"/>
      <c r="O183" s="38"/>
      <c r="P183" s="38"/>
    </row>
    <row r="184" ht="15.75" customHeight="1">
      <c r="D184" s="38"/>
      <c r="E184" s="38"/>
      <c r="F184" s="38"/>
      <c r="G184" s="38"/>
      <c r="H184" s="38"/>
      <c r="I184" s="38"/>
      <c r="J184" s="38"/>
      <c r="K184" s="38"/>
      <c r="L184" s="55"/>
      <c r="M184" s="38"/>
      <c r="N184" s="38"/>
      <c r="O184" s="38"/>
      <c r="P184" s="38"/>
    </row>
    <row r="185" ht="15.75" customHeight="1">
      <c r="D185" s="38"/>
      <c r="E185" s="38"/>
      <c r="F185" s="38"/>
      <c r="G185" s="38"/>
      <c r="H185" s="38"/>
      <c r="I185" s="38"/>
      <c r="J185" s="38"/>
      <c r="K185" s="38"/>
      <c r="L185" s="55"/>
      <c r="M185" s="38"/>
      <c r="N185" s="38"/>
      <c r="O185" s="38"/>
      <c r="P185" s="38"/>
    </row>
    <row r="186" ht="15.75" customHeight="1">
      <c r="D186" s="38"/>
      <c r="E186" s="38"/>
      <c r="F186" s="38"/>
      <c r="G186" s="38"/>
      <c r="H186" s="38"/>
      <c r="I186" s="38"/>
      <c r="J186" s="38"/>
      <c r="K186" s="38"/>
      <c r="L186" s="55"/>
      <c r="M186" s="38"/>
      <c r="N186" s="38"/>
      <c r="O186" s="38"/>
      <c r="P186" s="38"/>
    </row>
    <row r="187" ht="15.75" customHeight="1">
      <c r="D187" s="38"/>
      <c r="E187" s="38"/>
      <c r="F187" s="38"/>
      <c r="G187" s="38"/>
      <c r="H187" s="38"/>
      <c r="I187" s="38"/>
      <c r="J187" s="38"/>
      <c r="K187" s="38"/>
      <c r="L187" s="55"/>
      <c r="M187" s="38"/>
      <c r="N187" s="38"/>
      <c r="O187" s="38"/>
      <c r="P187" s="38"/>
    </row>
    <row r="188" ht="15.75" customHeight="1">
      <c r="D188" s="38"/>
      <c r="E188" s="38"/>
      <c r="F188" s="38"/>
      <c r="G188" s="38"/>
      <c r="H188" s="38"/>
      <c r="I188" s="38"/>
      <c r="J188" s="38"/>
      <c r="K188" s="38"/>
      <c r="L188" s="55"/>
      <c r="M188" s="38"/>
      <c r="N188" s="38"/>
      <c r="O188" s="38"/>
      <c r="P188" s="38"/>
    </row>
    <row r="189" ht="15.75" customHeight="1">
      <c r="D189" s="38"/>
      <c r="E189" s="38"/>
      <c r="F189" s="38"/>
      <c r="G189" s="38"/>
      <c r="H189" s="38"/>
      <c r="I189" s="38"/>
      <c r="J189" s="38"/>
      <c r="K189" s="38"/>
      <c r="L189" s="55"/>
      <c r="M189" s="38"/>
      <c r="N189" s="38"/>
      <c r="O189" s="38"/>
      <c r="P189" s="38"/>
    </row>
    <row r="190" ht="15.75" customHeight="1">
      <c r="D190" s="38"/>
      <c r="E190" s="38"/>
      <c r="F190" s="38"/>
      <c r="G190" s="38"/>
      <c r="H190" s="38"/>
      <c r="I190" s="38"/>
      <c r="J190" s="38"/>
      <c r="K190" s="38"/>
      <c r="L190" s="55"/>
      <c r="M190" s="38"/>
      <c r="N190" s="38"/>
      <c r="O190" s="38"/>
      <c r="P190" s="38"/>
    </row>
    <row r="191" ht="15.75" customHeight="1">
      <c r="D191" s="38"/>
      <c r="E191" s="38"/>
      <c r="F191" s="38"/>
      <c r="G191" s="38"/>
      <c r="H191" s="38"/>
      <c r="I191" s="38"/>
      <c r="J191" s="38"/>
      <c r="K191" s="38"/>
      <c r="L191" s="55"/>
      <c r="M191" s="38"/>
      <c r="N191" s="38"/>
      <c r="O191" s="38"/>
      <c r="P191" s="38"/>
    </row>
    <row r="192" ht="15.75" customHeight="1">
      <c r="D192" s="38"/>
      <c r="E192" s="38"/>
      <c r="F192" s="38"/>
      <c r="G192" s="38"/>
      <c r="H192" s="38"/>
      <c r="I192" s="38"/>
      <c r="J192" s="38"/>
      <c r="K192" s="38"/>
      <c r="L192" s="55"/>
      <c r="M192" s="38"/>
      <c r="N192" s="38"/>
      <c r="O192" s="38"/>
      <c r="P192" s="38"/>
    </row>
    <row r="193" ht="15.75" customHeight="1">
      <c r="D193" s="38"/>
      <c r="E193" s="38"/>
      <c r="F193" s="38"/>
      <c r="G193" s="38"/>
      <c r="H193" s="38"/>
      <c r="I193" s="38"/>
      <c r="J193" s="38"/>
      <c r="K193" s="38"/>
      <c r="L193" s="55"/>
      <c r="M193" s="38"/>
      <c r="N193" s="38"/>
      <c r="O193" s="38"/>
      <c r="P193" s="38"/>
    </row>
    <row r="194" ht="15.75" customHeight="1">
      <c r="D194" s="38"/>
      <c r="E194" s="38"/>
      <c r="F194" s="38"/>
      <c r="G194" s="38"/>
      <c r="H194" s="38"/>
      <c r="I194" s="38"/>
      <c r="J194" s="38"/>
      <c r="K194" s="38"/>
      <c r="L194" s="55"/>
      <c r="M194" s="38"/>
      <c r="N194" s="38"/>
      <c r="O194" s="38"/>
      <c r="P194" s="38"/>
    </row>
    <row r="195" ht="15.75" customHeight="1">
      <c r="D195" s="38"/>
      <c r="E195" s="38"/>
      <c r="F195" s="38"/>
      <c r="G195" s="38"/>
      <c r="H195" s="38"/>
      <c r="I195" s="38"/>
      <c r="J195" s="38"/>
      <c r="K195" s="38"/>
      <c r="L195" s="55"/>
      <c r="M195" s="38"/>
      <c r="N195" s="38"/>
      <c r="O195" s="38"/>
      <c r="P195" s="38"/>
    </row>
    <row r="196" ht="15.75" customHeight="1">
      <c r="D196" s="38"/>
      <c r="E196" s="38"/>
      <c r="F196" s="38"/>
      <c r="G196" s="38"/>
      <c r="H196" s="38"/>
      <c r="I196" s="38"/>
      <c r="J196" s="38"/>
      <c r="K196" s="38"/>
      <c r="L196" s="55"/>
      <c r="M196" s="38"/>
      <c r="N196" s="38"/>
      <c r="O196" s="38"/>
      <c r="P196" s="38"/>
    </row>
    <row r="197" ht="15.75" customHeight="1">
      <c r="D197" s="38"/>
      <c r="E197" s="38"/>
      <c r="F197" s="38"/>
      <c r="G197" s="38"/>
      <c r="H197" s="38"/>
      <c r="I197" s="38"/>
      <c r="J197" s="38"/>
      <c r="K197" s="38"/>
      <c r="L197" s="55"/>
      <c r="M197" s="38"/>
      <c r="N197" s="38"/>
      <c r="O197" s="38"/>
      <c r="P197" s="38"/>
    </row>
    <row r="198" ht="15.75" customHeight="1">
      <c r="D198" s="38"/>
      <c r="E198" s="38"/>
      <c r="F198" s="38"/>
      <c r="G198" s="38"/>
      <c r="H198" s="38"/>
      <c r="I198" s="38"/>
      <c r="J198" s="38"/>
      <c r="K198" s="38"/>
      <c r="L198" s="55"/>
      <c r="M198" s="38"/>
      <c r="N198" s="38"/>
      <c r="O198" s="38"/>
      <c r="P198" s="38"/>
    </row>
    <row r="199" ht="15.75" customHeight="1">
      <c r="D199" s="38"/>
      <c r="E199" s="38"/>
      <c r="F199" s="38"/>
      <c r="G199" s="38"/>
      <c r="H199" s="38"/>
      <c r="I199" s="38"/>
      <c r="J199" s="38"/>
      <c r="K199" s="38"/>
      <c r="L199" s="55"/>
      <c r="M199" s="38"/>
      <c r="N199" s="38"/>
      <c r="O199" s="38"/>
      <c r="P199" s="38"/>
    </row>
    <row r="200" ht="15.75" customHeight="1">
      <c r="D200" s="38"/>
      <c r="E200" s="38"/>
      <c r="F200" s="38"/>
      <c r="G200" s="38"/>
      <c r="H200" s="38"/>
      <c r="I200" s="38"/>
      <c r="J200" s="38"/>
      <c r="K200" s="38"/>
      <c r="L200" s="55"/>
      <c r="M200" s="38"/>
      <c r="N200" s="38"/>
      <c r="O200" s="38"/>
      <c r="P200" s="38"/>
    </row>
    <row r="201" ht="15.75" customHeight="1">
      <c r="D201" s="38"/>
      <c r="E201" s="38"/>
      <c r="F201" s="38"/>
      <c r="G201" s="38"/>
      <c r="H201" s="38"/>
      <c r="I201" s="38"/>
      <c r="J201" s="38"/>
      <c r="K201" s="38"/>
      <c r="L201" s="55"/>
      <c r="M201" s="38"/>
      <c r="N201" s="38"/>
      <c r="O201" s="38"/>
      <c r="P201" s="38"/>
    </row>
    <row r="202" ht="15.75" customHeight="1">
      <c r="D202" s="38"/>
      <c r="E202" s="38"/>
      <c r="F202" s="38"/>
      <c r="G202" s="38"/>
      <c r="H202" s="38"/>
      <c r="I202" s="38"/>
      <c r="J202" s="38"/>
      <c r="K202" s="38"/>
      <c r="L202" s="55"/>
      <c r="M202" s="38"/>
      <c r="N202" s="38"/>
      <c r="O202" s="38"/>
      <c r="P202" s="38"/>
    </row>
    <row r="203" ht="15.75" customHeight="1">
      <c r="D203" s="38"/>
      <c r="E203" s="38"/>
      <c r="F203" s="38"/>
      <c r="G203" s="38"/>
      <c r="H203" s="38"/>
      <c r="I203" s="38"/>
      <c r="J203" s="38"/>
      <c r="K203" s="38"/>
      <c r="L203" s="55"/>
      <c r="M203" s="38"/>
      <c r="N203" s="38"/>
      <c r="O203" s="38"/>
      <c r="P203" s="38"/>
    </row>
    <row r="204" ht="15.75" customHeight="1">
      <c r="D204" s="38"/>
      <c r="E204" s="38"/>
      <c r="F204" s="38"/>
      <c r="G204" s="38"/>
      <c r="H204" s="38"/>
      <c r="I204" s="38"/>
      <c r="J204" s="38"/>
      <c r="K204" s="38"/>
      <c r="L204" s="55"/>
      <c r="M204" s="38"/>
      <c r="N204" s="38"/>
      <c r="O204" s="38"/>
      <c r="P204" s="38"/>
    </row>
    <row r="205" ht="15.75" customHeight="1">
      <c r="D205" s="38"/>
      <c r="E205" s="38"/>
      <c r="F205" s="38"/>
      <c r="G205" s="38"/>
      <c r="H205" s="38"/>
      <c r="I205" s="38"/>
      <c r="J205" s="38"/>
      <c r="K205" s="38"/>
      <c r="L205" s="55"/>
      <c r="M205" s="38"/>
      <c r="N205" s="38"/>
      <c r="O205" s="38"/>
      <c r="P205" s="38"/>
    </row>
    <row r="206" ht="15.75" customHeight="1">
      <c r="D206" s="38"/>
      <c r="E206" s="38"/>
      <c r="F206" s="38"/>
      <c r="G206" s="38"/>
      <c r="H206" s="38"/>
      <c r="I206" s="38"/>
      <c r="J206" s="38"/>
      <c r="K206" s="38"/>
      <c r="L206" s="55"/>
      <c r="M206" s="38"/>
      <c r="N206" s="38"/>
      <c r="O206" s="38"/>
      <c r="P206" s="38"/>
    </row>
    <row r="207" ht="15.75" customHeight="1">
      <c r="D207" s="38"/>
      <c r="E207" s="38"/>
      <c r="F207" s="38"/>
      <c r="G207" s="38"/>
      <c r="H207" s="38"/>
      <c r="I207" s="38"/>
      <c r="J207" s="38"/>
      <c r="K207" s="38"/>
      <c r="L207" s="55"/>
      <c r="M207" s="38"/>
      <c r="N207" s="38"/>
      <c r="O207" s="38"/>
      <c r="P207" s="38"/>
    </row>
    <row r="208" ht="15.75" customHeight="1">
      <c r="D208" s="38"/>
      <c r="E208" s="38"/>
      <c r="F208" s="38"/>
      <c r="G208" s="38"/>
      <c r="H208" s="38"/>
      <c r="I208" s="38"/>
      <c r="J208" s="38"/>
      <c r="K208" s="38"/>
      <c r="L208" s="55"/>
      <c r="M208" s="38"/>
      <c r="N208" s="38"/>
      <c r="O208" s="38"/>
      <c r="P208" s="38"/>
    </row>
    <row r="209" ht="15.75" customHeight="1">
      <c r="D209" s="38"/>
      <c r="E209" s="38"/>
      <c r="F209" s="38"/>
      <c r="G209" s="38"/>
      <c r="H209" s="38"/>
      <c r="I209" s="38"/>
      <c r="J209" s="38"/>
      <c r="K209" s="38"/>
      <c r="L209" s="55"/>
      <c r="M209" s="38"/>
      <c r="N209" s="38"/>
      <c r="O209" s="38"/>
      <c r="P209" s="38"/>
    </row>
    <row r="210" ht="15.75" customHeight="1">
      <c r="D210" s="38"/>
      <c r="E210" s="38"/>
      <c r="F210" s="38"/>
      <c r="G210" s="38"/>
      <c r="H210" s="38"/>
      <c r="I210" s="38"/>
      <c r="J210" s="38"/>
      <c r="K210" s="38"/>
      <c r="L210" s="55"/>
      <c r="M210" s="38"/>
      <c r="N210" s="38"/>
      <c r="O210" s="38"/>
      <c r="P210" s="38"/>
    </row>
    <row r="211" ht="15.75" customHeight="1">
      <c r="D211" s="38"/>
      <c r="E211" s="38"/>
      <c r="F211" s="38"/>
      <c r="G211" s="38"/>
      <c r="H211" s="38"/>
      <c r="I211" s="38"/>
      <c r="J211" s="38"/>
      <c r="K211" s="38"/>
      <c r="L211" s="55"/>
      <c r="M211" s="38"/>
      <c r="N211" s="38"/>
      <c r="O211" s="38"/>
      <c r="P211" s="38"/>
    </row>
    <row r="212" ht="15.75" customHeight="1">
      <c r="D212" s="38"/>
      <c r="E212" s="38"/>
      <c r="F212" s="38"/>
      <c r="G212" s="38"/>
      <c r="H212" s="38"/>
      <c r="I212" s="38"/>
      <c r="J212" s="38"/>
      <c r="K212" s="38"/>
      <c r="L212" s="55"/>
      <c r="M212" s="38"/>
      <c r="N212" s="38"/>
      <c r="O212" s="38"/>
      <c r="P212" s="38"/>
    </row>
    <row r="213" ht="15.75" customHeight="1">
      <c r="D213" s="38"/>
      <c r="E213" s="38"/>
      <c r="F213" s="38"/>
      <c r="G213" s="38"/>
      <c r="H213" s="38"/>
      <c r="I213" s="38"/>
      <c r="J213" s="38"/>
      <c r="K213" s="38"/>
      <c r="L213" s="55"/>
      <c r="M213" s="38"/>
      <c r="N213" s="38"/>
      <c r="O213" s="38"/>
      <c r="P213" s="38"/>
    </row>
    <row r="214" ht="15.75" customHeight="1">
      <c r="D214" s="38"/>
      <c r="E214" s="38"/>
      <c r="F214" s="38"/>
      <c r="G214" s="38"/>
      <c r="H214" s="38"/>
      <c r="I214" s="38"/>
      <c r="J214" s="38"/>
      <c r="K214" s="38"/>
      <c r="L214" s="55"/>
      <c r="M214" s="38"/>
      <c r="N214" s="38"/>
      <c r="O214" s="38"/>
      <c r="P214" s="38"/>
    </row>
    <row r="215" ht="15.75" customHeight="1">
      <c r="D215" s="38"/>
      <c r="E215" s="38"/>
      <c r="F215" s="38"/>
      <c r="G215" s="38"/>
      <c r="H215" s="38"/>
      <c r="I215" s="38"/>
      <c r="J215" s="38"/>
      <c r="K215" s="38"/>
      <c r="L215" s="55"/>
      <c r="M215" s="38"/>
      <c r="N215" s="38"/>
      <c r="O215" s="38"/>
      <c r="P215" s="38"/>
    </row>
    <row r="216" ht="15.75" customHeight="1">
      <c r="D216" s="38"/>
      <c r="E216" s="38"/>
      <c r="F216" s="38"/>
      <c r="G216" s="38"/>
      <c r="H216" s="38"/>
      <c r="I216" s="38"/>
      <c r="J216" s="38"/>
      <c r="K216" s="38"/>
      <c r="L216" s="55"/>
      <c r="M216" s="38"/>
      <c r="N216" s="38"/>
      <c r="O216" s="38"/>
      <c r="P216" s="38"/>
    </row>
    <row r="217" ht="15.75" customHeight="1">
      <c r="D217" s="38"/>
      <c r="E217" s="38"/>
      <c r="F217" s="38"/>
      <c r="G217" s="38"/>
      <c r="H217" s="38"/>
      <c r="I217" s="38"/>
      <c r="J217" s="38"/>
      <c r="K217" s="38"/>
      <c r="L217" s="55"/>
      <c r="M217" s="38"/>
      <c r="N217" s="38"/>
      <c r="O217" s="38"/>
      <c r="P217" s="38"/>
    </row>
    <row r="218" ht="15.75" customHeight="1">
      <c r="D218" s="38"/>
      <c r="E218" s="38"/>
      <c r="F218" s="38"/>
      <c r="G218" s="38"/>
      <c r="H218" s="38"/>
      <c r="I218" s="38"/>
      <c r="J218" s="38"/>
      <c r="K218" s="38"/>
      <c r="L218" s="55"/>
      <c r="M218" s="38"/>
      <c r="N218" s="38"/>
      <c r="O218" s="38"/>
      <c r="P218" s="38"/>
    </row>
    <row r="219" ht="15.75" customHeight="1">
      <c r="D219" s="38"/>
      <c r="E219" s="38"/>
      <c r="F219" s="38"/>
      <c r="G219" s="38"/>
      <c r="H219" s="38"/>
      <c r="I219" s="38"/>
      <c r="J219" s="38"/>
      <c r="K219" s="38"/>
      <c r="L219" s="55"/>
      <c r="M219" s="38"/>
      <c r="N219" s="38"/>
      <c r="O219" s="38"/>
      <c r="P219" s="38"/>
    </row>
    <row r="220" ht="15.75" customHeight="1">
      <c r="D220" s="38"/>
      <c r="E220" s="38"/>
      <c r="F220" s="38"/>
      <c r="G220" s="38"/>
      <c r="H220" s="38"/>
      <c r="I220" s="38"/>
      <c r="J220" s="38"/>
      <c r="K220" s="38"/>
      <c r="L220" s="55"/>
      <c r="M220" s="38"/>
      <c r="N220" s="38"/>
      <c r="O220" s="38"/>
      <c r="P220" s="38"/>
    </row>
    <row r="221" ht="15.75" customHeight="1">
      <c r="D221" s="38"/>
      <c r="E221" s="38"/>
      <c r="F221" s="38"/>
      <c r="G221" s="38"/>
      <c r="H221" s="38"/>
      <c r="I221" s="38"/>
      <c r="J221" s="38"/>
      <c r="K221" s="38"/>
      <c r="L221" s="55"/>
      <c r="M221" s="38"/>
      <c r="N221" s="38"/>
      <c r="O221" s="38"/>
      <c r="P221" s="38"/>
    </row>
    <row r="222" ht="15.75" customHeight="1">
      <c r="D222" s="38"/>
      <c r="E222" s="38"/>
      <c r="F222" s="38"/>
      <c r="G222" s="38"/>
      <c r="H222" s="38"/>
      <c r="I222" s="38"/>
      <c r="J222" s="38"/>
      <c r="K222" s="38"/>
      <c r="L222" s="55"/>
      <c r="M222" s="38"/>
      <c r="N222" s="38"/>
      <c r="O222" s="38"/>
      <c r="P222" s="38"/>
    </row>
    <row r="223" ht="15.75" customHeight="1">
      <c r="D223" s="38"/>
      <c r="E223" s="38"/>
      <c r="F223" s="38"/>
      <c r="G223" s="38"/>
      <c r="H223" s="38"/>
      <c r="I223" s="38"/>
      <c r="J223" s="38"/>
      <c r="K223" s="38"/>
      <c r="L223" s="55"/>
      <c r="M223" s="38"/>
      <c r="N223" s="38"/>
      <c r="O223" s="38"/>
      <c r="P223" s="38"/>
    </row>
    <row r="224" ht="15.75" customHeight="1">
      <c r="D224" s="38"/>
      <c r="E224" s="38"/>
      <c r="F224" s="38"/>
      <c r="G224" s="38"/>
      <c r="H224" s="38"/>
      <c r="I224" s="38"/>
      <c r="J224" s="38"/>
      <c r="K224" s="38"/>
      <c r="L224" s="55"/>
      <c r="M224" s="38"/>
      <c r="N224" s="38"/>
      <c r="O224" s="38"/>
      <c r="P224" s="38"/>
    </row>
    <row r="225" ht="15.75" customHeight="1">
      <c r="D225" s="38"/>
      <c r="E225" s="38"/>
      <c r="F225" s="38"/>
      <c r="G225" s="38"/>
      <c r="H225" s="38"/>
      <c r="I225" s="38"/>
      <c r="J225" s="38"/>
      <c r="K225" s="38"/>
      <c r="L225" s="55"/>
      <c r="M225" s="38"/>
      <c r="N225" s="38"/>
      <c r="O225" s="38"/>
      <c r="P225" s="38"/>
    </row>
    <row r="226" ht="15.75" customHeight="1">
      <c r="D226" s="38"/>
      <c r="E226" s="38"/>
      <c r="F226" s="38"/>
      <c r="G226" s="38"/>
      <c r="H226" s="38"/>
      <c r="I226" s="38"/>
      <c r="J226" s="38"/>
      <c r="K226" s="38"/>
      <c r="L226" s="55"/>
      <c r="M226" s="38"/>
      <c r="N226" s="38"/>
      <c r="O226" s="38"/>
      <c r="P226" s="38"/>
    </row>
    <row r="227" ht="15.75" customHeight="1">
      <c r="D227" s="38"/>
      <c r="E227" s="38"/>
      <c r="F227" s="38"/>
      <c r="G227" s="38"/>
      <c r="H227" s="38"/>
      <c r="I227" s="38"/>
      <c r="J227" s="38"/>
      <c r="K227" s="38"/>
      <c r="L227" s="55"/>
      <c r="M227" s="38"/>
      <c r="N227" s="38"/>
      <c r="O227" s="38"/>
      <c r="P227" s="38"/>
    </row>
    <row r="228" ht="15.75" customHeight="1">
      <c r="D228" s="38"/>
      <c r="E228" s="38"/>
      <c r="F228" s="38"/>
      <c r="G228" s="38"/>
      <c r="H228" s="38"/>
      <c r="I228" s="38"/>
      <c r="J228" s="38"/>
      <c r="K228" s="38"/>
      <c r="L228" s="55"/>
      <c r="M228" s="38"/>
      <c r="N228" s="38"/>
      <c r="O228" s="38"/>
      <c r="P228" s="38"/>
    </row>
    <row r="229" ht="15.75" customHeight="1">
      <c r="D229" s="38"/>
      <c r="E229" s="38"/>
      <c r="F229" s="38"/>
      <c r="G229" s="38"/>
      <c r="H229" s="38"/>
      <c r="I229" s="38"/>
      <c r="J229" s="38"/>
      <c r="K229" s="38"/>
      <c r="L229" s="55"/>
      <c r="M229" s="38"/>
      <c r="N229" s="38"/>
      <c r="O229" s="38"/>
      <c r="P229" s="38"/>
    </row>
    <row r="230" ht="15.75" customHeight="1">
      <c r="D230" s="38"/>
      <c r="E230" s="38"/>
      <c r="F230" s="38"/>
      <c r="G230" s="38"/>
      <c r="H230" s="38"/>
      <c r="I230" s="38"/>
      <c r="J230" s="38"/>
      <c r="K230" s="38"/>
      <c r="L230" s="55"/>
      <c r="M230" s="38"/>
      <c r="N230" s="38"/>
      <c r="O230" s="38"/>
      <c r="P230" s="38"/>
    </row>
    <row r="231" ht="15.75" customHeight="1">
      <c r="D231" s="38"/>
      <c r="E231" s="38"/>
      <c r="F231" s="38"/>
      <c r="G231" s="38"/>
      <c r="H231" s="38"/>
      <c r="I231" s="38"/>
      <c r="J231" s="38"/>
      <c r="K231" s="38"/>
      <c r="L231" s="55"/>
      <c r="M231" s="38"/>
      <c r="N231" s="38"/>
      <c r="O231" s="38"/>
      <c r="P231" s="38"/>
    </row>
    <row r="232" ht="15.75" customHeight="1">
      <c r="D232" s="38"/>
      <c r="E232" s="38"/>
      <c r="F232" s="38"/>
      <c r="G232" s="38"/>
      <c r="H232" s="38"/>
      <c r="I232" s="38"/>
      <c r="J232" s="38"/>
      <c r="K232" s="38"/>
      <c r="L232" s="55"/>
      <c r="M232" s="38"/>
      <c r="N232" s="38"/>
      <c r="O232" s="38"/>
      <c r="P232" s="38"/>
    </row>
    <row r="233" ht="15.75" customHeight="1">
      <c r="D233" s="38"/>
      <c r="E233" s="38"/>
      <c r="F233" s="38"/>
      <c r="G233" s="38"/>
      <c r="H233" s="38"/>
      <c r="I233" s="38"/>
      <c r="J233" s="38"/>
      <c r="K233" s="38"/>
      <c r="L233" s="55"/>
      <c r="M233" s="38"/>
      <c r="N233" s="38"/>
      <c r="O233" s="38"/>
      <c r="P233" s="38"/>
    </row>
    <row r="234" ht="15.75" customHeight="1">
      <c r="D234" s="38"/>
      <c r="E234" s="38"/>
      <c r="F234" s="38"/>
      <c r="G234" s="38"/>
      <c r="H234" s="38"/>
      <c r="I234" s="38"/>
      <c r="J234" s="38"/>
      <c r="K234" s="38"/>
      <c r="L234" s="55"/>
      <c r="M234" s="38"/>
      <c r="N234" s="38"/>
      <c r="O234" s="38"/>
      <c r="P234" s="38"/>
    </row>
    <row r="235" ht="15.75" customHeight="1">
      <c r="D235" s="38"/>
      <c r="E235" s="38"/>
      <c r="F235" s="38"/>
      <c r="G235" s="38"/>
      <c r="H235" s="38"/>
      <c r="I235" s="38"/>
      <c r="J235" s="38"/>
      <c r="K235" s="38"/>
      <c r="L235" s="55"/>
      <c r="M235" s="38"/>
      <c r="N235" s="38"/>
      <c r="O235" s="38"/>
      <c r="P235" s="38"/>
    </row>
    <row r="236" ht="15.75" customHeight="1">
      <c r="D236" s="38"/>
      <c r="E236" s="38"/>
      <c r="F236" s="38"/>
      <c r="G236" s="38"/>
      <c r="H236" s="38"/>
      <c r="I236" s="38"/>
      <c r="J236" s="38"/>
      <c r="K236" s="38"/>
      <c r="L236" s="55"/>
      <c r="M236" s="38"/>
      <c r="N236" s="38"/>
      <c r="O236" s="38"/>
      <c r="P236" s="38"/>
    </row>
    <row r="237" ht="15.75" customHeight="1">
      <c r="D237" s="38"/>
      <c r="E237" s="38"/>
      <c r="F237" s="38"/>
      <c r="G237" s="38"/>
      <c r="H237" s="38"/>
      <c r="I237" s="38"/>
      <c r="J237" s="38"/>
      <c r="K237" s="38"/>
      <c r="L237" s="55"/>
      <c r="M237" s="38"/>
      <c r="N237" s="38"/>
      <c r="O237" s="38"/>
      <c r="P237" s="38"/>
    </row>
    <row r="238" ht="15.75" customHeight="1">
      <c r="D238" s="38"/>
      <c r="E238" s="38"/>
      <c r="F238" s="38"/>
      <c r="G238" s="38"/>
      <c r="H238" s="38"/>
      <c r="I238" s="38"/>
      <c r="J238" s="38"/>
      <c r="K238" s="38"/>
      <c r="L238" s="55"/>
      <c r="M238" s="38"/>
      <c r="N238" s="38"/>
      <c r="O238" s="38"/>
      <c r="P238" s="38"/>
    </row>
    <row r="239" ht="15.75" customHeight="1">
      <c r="D239" s="38"/>
      <c r="E239" s="38"/>
      <c r="F239" s="38"/>
      <c r="G239" s="38"/>
      <c r="H239" s="38"/>
      <c r="I239" s="38"/>
      <c r="J239" s="38"/>
      <c r="K239" s="38"/>
      <c r="L239" s="55"/>
      <c r="M239" s="38"/>
      <c r="N239" s="38"/>
      <c r="O239" s="38"/>
      <c r="P239" s="38"/>
    </row>
    <row r="240" ht="15.75" customHeight="1">
      <c r="D240" s="38"/>
      <c r="E240" s="38"/>
      <c r="F240" s="38"/>
      <c r="G240" s="38"/>
      <c r="H240" s="38"/>
      <c r="I240" s="38"/>
      <c r="J240" s="38"/>
      <c r="K240" s="38"/>
      <c r="L240" s="55"/>
      <c r="M240" s="38"/>
      <c r="N240" s="38"/>
      <c r="O240" s="38"/>
      <c r="P240" s="38"/>
    </row>
    <row r="241" ht="15.75" customHeight="1">
      <c r="D241" s="38"/>
      <c r="E241" s="38"/>
      <c r="F241" s="38"/>
      <c r="G241" s="38"/>
      <c r="H241" s="38"/>
      <c r="I241" s="38"/>
      <c r="J241" s="38"/>
      <c r="K241" s="38"/>
      <c r="L241" s="55"/>
      <c r="M241" s="38"/>
      <c r="N241" s="38"/>
      <c r="O241" s="38"/>
      <c r="P241" s="38"/>
    </row>
    <row r="242" ht="15.75" customHeight="1">
      <c r="D242" s="38"/>
      <c r="E242" s="38"/>
      <c r="F242" s="38"/>
      <c r="G242" s="38"/>
      <c r="H242" s="38"/>
      <c r="I242" s="38"/>
      <c r="J242" s="38"/>
      <c r="K242" s="38"/>
      <c r="L242" s="55"/>
      <c r="M242" s="38"/>
      <c r="N242" s="38"/>
      <c r="O242" s="38"/>
      <c r="P242" s="38"/>
    </row>
    <row r="243" ht="15.75" customHeight="1">
      <c r="D243" s="38"/>
      <c r="E243" s="38"/>
      <c r="F243" s="38"/>
      <c r="G243" s="38"/>
      <c r="H243" s="38"/>
      <c r="I243" s="38"/>
      <c r="J243" s="38"/>
      <c r="K243" s="38"/>
      <c r="L243" s="55"/>
      <c r="M243" s="38"/>
      <c r="N243" s="38"/>
      <c r="O243" s="38"/>
      <c r="P243" s="38"/>
    </row>
    <row r="244" ht="15.75" customHeight="1">
      <c r="D244" s="38"/>
      <c r="E244" s="38"/>
      <c r="F244" s="38"/>
      <c r="G244" s="38"/>
      <c r="H244" s="38"/>
      <c r="I244" s="38"/>
      <c r="J244" s="38"/>
      <c r="K244" s="38"/>
      <c r="L244" s="55"/>
      <c r="M244" s="38"/>
      <c r="N244" s="38"/>
      <c r="O244" s="38"/>
      <c r="P244" s="38"/>
    </row>
    <row r="245" ht="15.75" customHeight="1">
      <c r="D245" s="38"/>
      <c r="E245" s="38"/>
      <c r="F245" s="38"/>
      <c r="G245" s="38"/>
      <c r="H245" s="38"/>
      <c r="I245" s="38"/>
      <c r="J245" s="38"/>
      <c r="K245" s="38"/>
      <c r="L245" s="55"/>
      <c r="M245" s="38"/>
      <c r="N245" s="38"/>
      <c r="O245" s="38"/>
      <c r="P245" s="38"/>
    </row>
    <row r="246" ht="15.75" customHeight="1">
      <c r="D246" s="38"/>
      <c r="E246" s="38"/>
      <c r="F246" s="38"/>
      <c r="G246" s="38"/>
      <c r="H246" s="38"/>
      <c r="I246" s="38"/>
      <c r="J246" s="38"/>
      <c r="K246" s="38"/>
      <c r="L246" s="55"/>
      <c r="M246" s="38"/>
      <c r="N246" s="38"/>
      <c r="O246" s="38"/>
      <c r="P246" s="38"/>
    </row>
    <row r="247" ht="15.75" customHeight="1">
      <c r="D247" s="38"/>
      <c r="E247" s="38"/>
      <c r="F247" s="38"/>
      <c r="G247" s="38"/>
      <c r="H247" s="38"/>
      <c r="I247" s="38"/>
      <c r="J247" s="38"/>
      <c r="K247" s="38"/>
      <c r="L247" s="55"/>
      <c r="M247" s="38"/>
      <c r="N247" s="38"/>
      <c r="O247" s="38"/>
      <c r="P247" s="38"/>
    </row>
    <row r="248" ht="15.75" customHeight="1">
      <c r="D248" s="38"/>
      <c r="E248" s="38"/>
      <c r="F248" s="38"/>
      <c r="G248" s="38"/>
      <c r="H248" s="38"/>
      <c r="I248" s="38"/>
      <c r="J248" s="38"/>
      <c r="K248" s="38"/>
      <c r="L248" s="55"/>
      <c r="M248" s="38"/>
      <c r="N248" s="38"/>
      <c r="O248" s="38"/>
      <c r="P248" s="38"/>
    </row>
    <row r="249" ht="15.75" customHeight="1">
      <c r="D249" s="38"/>
      <c r="E249" s="38"/>
      <c r="F249" s="38"/>
      <c r="G249" s="38"/>
      <c r="H249" s="38"/>
      <c r="I249" s="38"/>
      <c r="J249" s="38"/>
      <c r="K249" s="38"/>
      <c r="L249" s="55"/>
      <c r="M249" s="38"/>
      <c r="N249" s="38"/>
      <c r="O249" s="38"/>
      <c r="P249" s="38"/>
    </row>
    <row r="250" ht="15.75" customHeight="1">
      <c r="D250" s="38"/>
      <c r="E250" s="38"/>
      <c r="F250" s="38"/>
      <c r="G250" s="38"/>
      <c r="H250" s="38"/>
      <c r="I250" s="38"/>
      <c r="J250" s="38"/>
      <c r="K250" s="38"/>
      <c r="L250" s="55"/>
      <c r="M250" s="38"/>
      <c r="N250" s="38"/>
      <c r="O250" s="38"/>
      <c r="P250" s="38"/>
    </row>
    <row r="251" ht="15.75" customHeight="1">
      <c r="D251" s="38"/>
      <c r="E251" s="38"/>
      <c r="F251" s="38"/>
      <c r="G251" s="38"/>
      <c r="H251" s="38"/>
      <c r="I251" s="38"/>
      <c r="J251" s="38"/>
      <c r="K251" s="38"/>
      <c r="L251" s="55"/>
      <c r="M251" s="38"/>
      <c r="N251" s="38"/>
      <c r="O251" s="38"/>
      <c r="P251" s="38"/>
    </row>
    <row r="252" ht="15.75" customHeight="1">
      <c r="D252" s="38"/>
      <c r="E252" s="38"/>
      <c r="F252" s="38"/>
      <c r="G252" s="38"/>
      <c r="H252" s="38"/>
      <c r="I252" s="38"/>
      <c r="J252" s="38"/>
      <c r="K252" s="38"/>
      <c r="L252" s="55"/>
      <c r="M252" s="38"/>
      <c r="N252" s="38"/>
      <c r="O252" s="38"/>
      <c r="P252" s="38"/>
    </row>
    <row r="253" ht="15.75" customHeight="1">
      <c r="D253" s="38"/>
      <c r="E253" s="38"/>
      <c r="F253" s="38"/>
      <c r="G253" s="38"/>
      <c r="H253" s="38"/>
      <c r="I253" s="38"/>
      <c r="J253" s="38"/>
      <c r="K253" s="38"/>
      <c r="L253" s="55"/>
      <c r="M253" s="38"/>
      <c r="N253" s="38"/>
      <c r="O253" s="38"/>
      <c r="P253" s="38"/>
    </row>
    <row r="254" ht="15.75" customHeight="1">
      <c r="D254" s="38"/>
      <c r="E254" s="38"/>
      <c r="F254" s="38"/>
      <c r="G254" s="38"/>
      <c r="H254" s="38"/>
      <c r="I254" s="38"/>
      <c r="J254" s="38"/>
      <c r="K254" s="38"/>
      <c r="L254" s="55"/>
      <c r="M254" s="38"/>
      <c r="N254" s="38"/>
      <c r="O254" s="38"/>
      <c r="P254" s="38"/>
    </row>
    <row r="255" ht="15.75" customHeight="1">
      <c r="D255" s="38"/>
      <c r="E255" s="38"/>
      <c r="F255" s="38"/>
      <c r="G255" s="38"/>
      <c r="H255" s="38"/>
      <c r="I255" s="38"/>
      <c r="J255" s="38"/>
      <c r="K255" s="38"/>
      <c r="L255" s="55"/>
      <c r="M255" s="38"/>
      <c r="N255" s="38"/>
      <c r="O255" s="38"/>
      <c r="P255" s="38"/>
    </row>
    <row r="256" ht="15.75" customHeight="1">
      <c r="D256" s="38"/>
      <c r="E256" s="38"/>
      <c r="F256" s="38"/>
      <c r="G256" s="38"/>
      <c r="H256" s="38"/>
      <c r="I256" s="38"/>
      <c r="J256" s="38"/>
      <c r="K256" s="38"/>
      <c r="L256" s="55"/>
      <c r="M256" s="38"/>
      <c r="N256" s="38"/>
      <c r="O256" s="38"/>
      <c r="P256" s="38"/>
    </row>
    <row r="257" ht="15.75" customHeight="1">
      <c r="D257" s="38"/>
      <c r="E257" s="38"/>
      <c r="F257" s="38"/>
      <c r="G257" s="38"/>
      <c r="H257" s="38"/>
      <c r="I257" s="38"/>
      <c r="J257" s="38"/>
      <c r="K257" s="38"/>
      <c r="L257" s="55"/>
      <c r="M257" s="38"/>
      <c r="N257" s="38"/>
      <c r="O257" s="38"/>
      <c r="P257" s="38"/>
    </row>
    <row r="258" ht="15.75" customHeight="1">
      <c r="D258" s="38"/>
      <c r="E258" s="38"/>
      <c r="F258" s="38"/>
      <c r="G258" s="38"/>
      <c r="H258" s="38"/>
      <c r="I258" s="38"/>
      <c r="J258" s="38"/>
      <c r="K258" s="38"/>
      <c r="L258" s="55"/>
      <c r="M258" s="38"/>
      <c r="N258" s="38"/>
      <c r="O258" s="38"/>
      <c r="P258" s="38"/>
    </row>
    <row r="259" ht="15.75" customHeight="1">
      <c r="D259" s="38"/>
      <c r="E259" s="38"/>
      <c r="F259" s="38"/>
      <c r="G259" s="38"/>
      <c r="H259" s="38"/>
      <c r="I259" s="38"/>
      <c r="J259" s="38"/>
      <c r="K259" s="38"/>
      <c r="L259" s="55"/>
      <c r="M259" s="38"/>
      <c r="N259" s="38"/>
      <c r="O259" s="38"/>
      <c r="P259" s="38"/>
    </row>
    <row r="260" ht="15.75" customHeight="1">
      <c r="D260" s="38"/>
      <c r="E260" s="38"/>
      <c r="F260" s="38"/>
      <c r="G260" s="38"/>
      <c r="H260" s="38"/>
      <c r="I260" s="38"/>
      <c r="J260" s="38"/>
      <c r="K260" s="38"/>
      <c r="L260" s="55"/>
      <c r="M260" s="38"/>
      <c r="N260" s="38"/>
      <c r="O260" s="38"/>
      <c r="P260" s="38"/>
    </row>
    <row r="261" ht="15.75" customHeight="1">
      <c r="D261" s="38"/>
      <c r="E261" s="38"/>
      <c r="F261" s="38"/>
      <c r="G261" s="38"/>
      <c r="H261" s="38"/>
      <c r="I261" s="38"/>
      <c r="J261" s="38"/>
      <c r="K261" s="38"/>
      <c r="L261" s="55"/>
      <c r="M261" s="38"/>
      <c r="N261" s="38"/>
      <c r="O261" s="38"/>
      <c r="P261" s="38"/>
    </row>
    <row r="262" ht="15.75" customHeight="1">
      <c r="D262" s="38"/>
      <c r="E262" s="38"/>
      <c r="F262" s="38"/>
      <c r="G262" s="38"/>
      <c r="H262" s="38"/>
      <c r="I262" s="38"/>
      <c r="J262" s="38"/>
      <c r="K262" s="38"/>
      <c r="L262" s="55"/>
      <c r="M262" s="38"/>
      <c r="N262" s="38"/>
      <c r="O262" s="38"/>
      <c r="P262" s="38"/>
    </row>
    <row r="263" ht="15.75" customHeight="1">
      <c r="D263" s="38"/>
      <c r="E263" s="38"/>
      <c r="F263" s="38"/>
      <c r="G263" s="38"/>
      <c r="H263" s="38"/>
      <c r="I263" s="38"/>
      <c r="J263" s="38"/>
      <c r="K263" s="38"/>
      <c r="L263" s="55"/>
      <c r="M263" s="38"/>
      <c r="N263" s="38"/>
      <c r="O263" s="38"/>
      <c r="P263" s="38"/>
    </row>
    <row r="264" ht="15.75" customHeight="1">
      <c r="D264" s="38"/>
      <c r="E264" s="38"/>
      <c r="F264" s="38"/>
      <c r="G264" s="38"/>
      <c r="H264" s="38"/>
      <c r="I264" s="38"/>
      <c r="J264" s="38"/>
      <c r="K264" s="38"/>
      <c r="L264" s="55"/>
      <c r="M264" s="38"/>
      <c r="N264" s="38"/>
      <c r="O264" s="38"/>
      <c r="P264" s="38"/>
    </row>
    <row r="265" ht="15.75" customHeight="1">
      <c r="D265" s="38"/>
      <c r="E265" s="38"/>
      <c r="F265" s="38"/>
      <c r="G265" s="38"/>
      <c r="H265" s="38"/>
      <c r="I265" s="38"/>
      <c r="J265" s="38"/>
      <c r="K265" s="38"/>
      <c r="L265" s="55"/>
      <c r="M265" s="38"/>
      <c r="N265" s="38"/>
      <c r="O265" s="38"/>
      <c r="P265" s="38"/>
    </row>
    <row r="266" ht="15.75" customHeight="1">
      <c r="D266" s="38"/>
      <c r="E266" s="38"/>
      <c r="F266" s="38"/>
      <c r="G266" s="38"/>
      <c r="H266" s="38"/>
      <c r="I266" s="38"/>
      <c r="J266" s="38"/>
      <c r="K266" s="38"/>
      <c r="L266" s="55"/>
      <c r="M266" s="38"/>
      <c r="N266" s="38"/>
      <c r="O266" s="38"/>
      <c r="P266" s="38"/>
    </row>
    <row r="267" ht="15.75" customHeight="1">
      <c r="D267" s="38"/>
      <c r="E267" s="38"/>
      <c r="F267" s="38"/>
      <c r="G267" s="38"/>
      <c r="H267" s="38"/>
      <c r="I267" s="38"/>
      <c r="J267" s="38"/>
      <c r="K267" s="38"/>
      <c r="L267" s="55"/>
      <c r="M267" s="38"/>
      <c r="N267" s="38"/>
      <c r="O267" s="38"/>
      <c r="P267" s="38"/>
    </row>
    <row r="268" ht="15.75" customHeight="1">
      <c r="D268" s="38"/>
      <c r="E268" s="38"/>
      <c r="F268" s="38"/>
      <c r="G268" s="38"/>
      <c r="H268" s="38"/>
      <c r="I268" s="38"/>
      <c r="J268" s="38"/>
      <c r="K268" s="38"/>
      <c r="L268" s="55"/>
      <c r="M268" s="38"/>
      <c r="N268" s="38"/>
      <c r="O268" s="38"/>
      <c r="P268" s="38"/>
    </row>
    <row r="269" ht="15.75" customHeight="1">
      <c r="D269" s="38"/>
      <c r="E269" s="38"/>
      <c r="F269" s="38"/>
      <c r="G269" s="38"/>
      <c r="H269" s="38"/>
      <c r="I269" s="38"/>
      <c r="J269" s="38"/>
      <c r="K269" s="38"/>
      <c r="L269" s="55"/>
      <c r="M269" s="38"/>
      <c r="N269" s="38"/>
      <c r="O269" s="38"/>
      <c r="P269" s="38"/>
    </row>
    <row r="270" ht="15.75" customHeight="1">
      <c r="D270" s="38"/>
      <c r="E270" s="38"/>
      <c r="F270" s="38"/>
      <c r="G270" s="38"/>
      <c r="H270" s="38"/>
      <c r="I270" s="38"/>
      <c r="J270" s="38"/>
      <c r="K270" s="38"/>
      <c r="L270" s="55"/>
      <c r="M270" s="38"/>
      <c r="N270" s="38"/>
      <c r="O270" s="38"/>
      <c r="P270" s="38"/>
    </row>
    <row r="271" ht="15.75" customHeight="1">
      <c r="D271" s="38"/>
      <c r="E271" s="38"/>
      <c r="F271" s="38"/>
      <c r="G271" s="38"/>
      <c r="H271" s="38"/>
      <c r="I271" s="38"/>
      <c r="J271" s="38"/>
      <c r="K271" s="38"/>
      <c r="L271" s="55"/>
      <c r="M271" s="38"/>
      <c r="N271" s="38"/>
      <c r="O271" s="38"/>
      <c r="P271" s="38"/>
    </row>
    <row r="272" ht="15.75" customHeight="1">
      <c r="D272" s="38"/>
      <c r="E272" s="38"/>
      <c r="F272" s="38"/>
      <c r="G272" s="38"/>
      <c r="H272" s="38"/>
      <c r="I272" s="38"/>
      <c r="J272" s="38"/>
      <c r="K272" s="38"/>
      <c r="L272" s="55"/>
      <c r="M272" s="38"/>
      <c r="N272" s="38"/>
      <c r="O272" s="38"/>
      <c r="P272" s="38"/>
    </row>
    <row r="273" ht="15.75" customHeight="1">
      <c r="D273" s="38"/>
      <c r="E273" s="38"/>
      <c r="F273" s="38"/>
      <c r="G273" s="38"/>
      <c r="H273" s="38"/>
      <c r="I273" s="38"/>
      <c r="J273" s="38"/>
      <c r="K273" s="38"/>
      <c r="L273" s="55"/>
      <c r="M273" s="38"/>
      <c r="N273" s="38"/>
      <c r="O273" s="38"/>
      <c r="P273" s="38"/>
    </row>
    <row r="274" ht="15.75" customHeight="1">
      <c r="D274" s="38"/>
      <c r="E274" s="38"/>
      <c r="F274" s="38"/>
      <c r="G274" s="38"/>
      <c r="H274" s="38"/>
      <c r="I274" s="38"/>
      <c r="J274" s="38"/>
      <c r="K274" s="38"/>
      <c r="L274" s="55"/>
      <c r="M274" s="38"/>
      <c r="N274" s="38"/>
      <c r="O274" s="38"/>
      <c r="P274" s="38"/>
    </row>
    <row r="275" ht="15.75" customHeight="1">
      <c r="D275" s="38"/>
      <c r="E275" s="38"/>
      <c r="F275" s="38"/>
      <c r="G275" s="38"/>
      <c r="H275" s="38"/>
      <c r="I275" s="38"/>
      <c r="J275" s="38"/>
      <c r="K275" s="38"/>
      <c r="L275" s="55"/>
      <c r="M275" s="38"/>
      <c r="N275" s="38"/>
      <c r="O275" s="38"/>
      <c r="P275" s="38"/>
    </row>
    <row r="276" ht="15.75" customHeight="1">
      <c r="D276" s="38"/>
      <c r="E276" s="38"/>
      <c r="F276" s="38"/>
      <c r="G276" s="38"/>
      <c r="H276" s="38"/>
      <c r="I276" s="38"/>
      <c r="J276" s="38"/>
      <c r="K276" s="38"/>
      <c r="L276" s="55"/>
      <c r="M276" s="38"/>
      <c r="N276" s="38"/>
      <c r="O276" s="38"/>
      <c r="P276" s="38"/>
    </row>
    <row r="277" ht="15.75" customHeight="1">
      <c r="D277" s="38"/>
      <c r="E277" s="38"/>
      <c r="F277" s="38"/>
      <c r="G277" s="38"/>
      <c r="H277" s="38"/>
      <c r="I277" s="38"/>
      <c r="J277" s="38"/>
      <c r="K277" s="38"/>
      <c r="L277" s="55"/>
      <c r="M277" s="38"/>
      <c r="N277" s="38"/>
      <c r="O277" s="38"/>
      <c r="P277" s="38"/>
    </row>
    <row r="278" ht="15.75" customHeight="1">
      <c r="D278" s="38"/>
      <c r="E278" s="38"/>
      <c r="F278" s="38"/>
      <c r="G278" s="38"/>
      <c r="H278" s="38"/>
      <c r="I278" s="38"/>
      <c r="J278" s="38"/>
      <c r="K278" s="38"/>
      <c r="L278" s="55"/>
      <c r="M278" s="38"/>
      <c r="N278" s="38"/>
      <c r="O278" s="38"/>
      <c r="P278" s="38"/>
    </row>
    <row r="279" ht="15.75" customHeight="1">
      <c r="D279" s="38"/>
      <c r="E279" s="38"/>
      <c r="F279" s="38"/>
      <c r="G279" s="38"/>
      <c r="H279" s="38"/>
      <c r="I279" s="38"/>
      <c r="J279" s="38"/>
      <c r="K279" s="38"/>
      <c r="L279" s="55"/>
      <c r="M279" s="38"/>
      <c r="N279" s="38"/>
      <c r="O279" s="38"/>
      <c r="P279" s="38"/>
    </row>
    <row r="280" ht="15.75" customHeight="1">
      <c r="D280" s="38"/>
      <c r="E280" s="38"/>
      <c r="F280" s="38"/>
      <c r="G280" s="38"/>
      <c r="H280" s="38"/>
      <c r="I280" s="38"/>
      <c r="J280" s="38"/>
      <c r="K280" s="38"/>
      <c r="L280" s="55"/>
      <c r="M280" s="38"/>
      <c r="N280" s="38"/>
      <c r="O280" s="38"/>
      <c r="P280" s="38"/>
    </row>
    <row r="281" ht="15.75" customHeight="1">
      <c r="D281" s="38"/>
      <c r="E281" s="38"/>
      <c r="F281" s="38"/>
      <c r="G281" s="38"/>
      <c r="H281" s="38"/>
      <c r="I281" s="38"/>
      <c r="J281" s="38"/>
      <c r="K281" s="38"/>
      <c r="L281" s="55"/>
      <c r="M281" s="38"/>
      <c r="N281" s="38"/>
      <c r="O281" s="38"/>
      <c r="P281" s="38"/>
    </row>
    <row r="282" ht="15.75" customHeight="1">
      <c r="D282" s="38"/>
      <c r="E282" s="38"/>
      <c r="F282" s="38"/>
      <c r="G282" s="38"/>
      <c r="H282" s="38"/>
      <c r="I282" s="38"/>
      <c r="J282" s="38"/>
      <c r="K282" s="38"/>
      <c r="L282" s="55"/>
      <c r="M282" s="38"/>
      <c r="N282" s="38"/>
      <c r="O282" s="38"/>
      <c r="P282" s="38"/>
    </row>
    <row r="283" ht="15.75" customHeight="1">
      <c r="D283" s="38"/>
      <c r="E283" s="38"/>
      <c r="F283" s="38"/>
      <c r="G283" s="38"/>
      <c r="H283" s="38"/>
      <c r="I283" s="38"/>
      <c r="J283" s="38"/>
      <c r="K283" s="38"/>
      <c r="L283" s="55"/>
      <c r="M283" s="38"/>
      <c r="N283" s="38"/>
      <c r="O283" s="38"/>
      <c r="P283" s="38"/>
    </row>
    <row r="284" ht="15.75" customHeight="1">
      <c r="D284" s="38"/>
      <c r="E284" s="38"/>
      <c r="F284" s="38"/>
      <c r="G284" s="38"/>
      <c r="H284" s="38"/>
      <c r="I284" s="38"/>
      <c r="J284" s="38"/>
      <c r="K284" s="38"/>
      <c r="L284" s="55"/>
      <c r="M284" s="38"/>
      <c r="N284" s="38"/>
      <c r="O284" s="38"/>
      <c r="P284" s="38"/>
    </row>
    <row r="285" ht="15.75" customHeight="1">
      <c r="D285" s="38"/>
      <c r="E285" s="38"/>
      <c r="F285" s="38"/>
      <c r="G285" s="38"/>
      <c r="H285" s="38"/>
      <c r="I285" s="38"/>
      <c r="J285" s="38"/>
      <c r="K285" s="38"/>
      <c r="L285" s="55"/>
      <c r="M285" s="38"/>
      <c r="N285" s="38"/>
      <c r="O285" s="38"/>
      <c r="P285" s="38"/>
    </row>
    <row r="286" ht="15.75" customHeight="1">
      <c r="D286" s="38"/>
      <c r="E286" s="38"/>
      <c r="F286" s="38"/>
      <c r="G286" s="38"/>
      <c r="H286" s="38"/>
      <c r="I286" s="38"/>
      <c r="J286" s="38"/>
      <c r="K286" s="38"/>
      <c r="L286" s="55"/>
      <c r="M286" s="38"/>
      <c r="N286" s="38"/>
      <c r="O286" s="38"/>
      <c r="P286" s="38"/>
    </row>
    <row r="287" ht="15.75" customHeight="1">
      <c r="D287" s="38"/>
      <c r="E287" s="38"/>
      <c r="F287" s="38"/>
      <c r="G287" s="38"/>
      <c r="H287" s="38"/>
      <c r="I287" s="38"/>
      <c r="J287" s="38"/>
      <c r="K287" s="38"/>
      <c r="L287" s="55"/>
      <c r="M287" s="38"/>
      <c r="N287" s="38"/>
      <c r="O287" s="38"/>
      <c r="P287" s="38"/>
    </row>
    <row r="288" ht="15.75" customHeight="1">
      <c r="D288" s="38"/>
      <c r="E288" s="38"/>
      <c r="F288" s="38"/>
      <c r="G288" s="38"/>
      <c r="H288" s="38"/>
      <c r="I288" s="38"/>
      <c r="J288" s="38"/>
      <c r="K288" s="38"/>
      <c r="L288" s="55"/>
      <c r="M288" s="38"/>
      <c r="N288" s="38"/>
      <c r="O288" s="38"/>
      <c r="P288" s="38"/>
    </row>
    <row r="289" ht="15.75" customHeight="1">
      <c r="D289" s="38"/>
      <c r="E289" s="38"/>
      <c r="F289" s="38"/>
      <c r="G289" s="38"/>
      <c r="H289" s="38"/>
      <c r="I289" s="38"/>
      <c r="J289" s="38"/>
      <c r="K289" s="38"/>
      <c r="L289" s="55"/>
      <c r="M289" s="38"/>
      <c r="N289" s="38"/>
      <c r="O289" s="38"/>
      <c r="P289" s="38"/>
    </row>
    <row r="290" ht="15.75" customHeight="1">
      <c r="D290" s="38"/>
      <c r="E290" s="38"/>
      <c r="F290" s="38"/>
      <c r="G290" s="38"/>
      <c r="H290" s="38"/>
      <c r="I290" s="38"/>
      <c r="J290" s="38"/>
      <c r="K290" s="38"/>
      <c r="L290" s="55"/>
      <c r="M290" s="38"/>
      <c r="N290" s="38"/>
      <c r="O290" s="38"/>
      <c r="P290" s="38"/>
    </row>
    <row r="291" ht="15.75" customHeight="1">
      <c r="D291" s="38"/>
      <c r="E291" s="38"/>
      <c r="F291" s="38"/>
      <c r="G291" s="38"/>
      <c r="H291" s="38"/>
      <c r="I291" s="38"/>
      <c r="J291" s="38"/>
      <c r="K291" s="38"/>
      <c r="L291" s="55"/>
      <c r="M291" s="38"/>
      <c r="N291" s="38"/>
      <c r="O291" s="38"/>
      <c r="P291" s="38"/>
    </row>
    <row r="292" ht="15.75" customHeight="1">
      <c r="D292" s="38"/>
      <c r="E292" s="38"/>
      <c r="F292" s="38"/>
      <c r="G292" s="38"/>
      <c r="H292" s="38"/>
      <c r="I292" s="38"/>
      <c r="J292" s="38"/>
      <c r="K292" s="38"/>
      <c r="L292" s="55"/>
      <c r="M292" s="38"/>
      <c r="N292" s="38"/>
      <c r="O292" s="38"/>
      <c r="P292" s="38"/>
    </row>
    <row r="293" ht="15.75" customHeight="1">
      <c r="D293" s="38"/>
      <c r="E293" s="38"/>
      <c r="F293" s="38"/>
      <c r="G293" s="38"/>
      <c r="H293" s="38"/>
      <c r="I293" s="38"/>
      <c r="J293" s="38"/>
      <c r="K293" s="38"/>
      <c r="L293" s="55"/>
      <c r="M293" s="38"/>
      <c r="N293" s="38"/>
      <c r="O293" s="38"/>
      <c r="P293" s="38"/>
    </row>
    <row r="294" ht="15.75" customHeight="1">
      <c r="D294" s="38"/>
      <c r="E294" s="38"/>
      <c r="F294" s="38"/>
      <c r="G294" s="38"/>
      <c r="H294" s="38"/>
      <c r="I294" s="38"/>
      <c r="J294" s="38"/>
      <c r="K294" s="38"/>
      <c r="L294" s="55"/>
      <c r="M294" s="38"/>
      <c r="N294" s="38"/>
      <c r="O294" s="38"/>
      <c r="P294" s="38"/>
    </row>
    <row r="295" ht="15.75" customHeight="1">
      <c r="D295" s="38"/>
      <c r="E295" s="38"/>
      <c r="F295" s="38"/>
      <c r="G295" s="38"/>
      <c r="H295" s="38"/>
      <c r="I295" s="38"/>
      <c r="J295" s="38"/>
      <c r="K295" s="38"/>
      <c r="L295" s="55"/>
      <c r="M295" s="38"/>
      <c r="N295" s="38"/>
      <c r="O295" s="38"/>
      <c r="P295" s="38"/>
    </row>
    <row r="296" ht="15.75" customHeight="1">
      <c r="D296" s="38"/>
      <c r="E296" s="38"/>
      <c r="F296" s="38"/>
      <c r="G296" s="38"/>
      <c r="H296" s="38"/>
      <c r="I296" s="38"/>
      <c r="J296" s="38"/>
      <c r="K296" s="38"/>
      <c r="L296" s="55"/>
      <c r="M296" s="38"/>
      <c r="N296" s="38"/>
      <c r="O296" s="38"/>
      <c r="P296" s="38"/>
    </row>
    <row r="297" ht="15.75" customHeight="1">
      <c r="D297" s="38"/>
      <c r="E297" s="38"/>
      <c r="F297" s="38"/>
      <c r="G297" s="38"/>
      <c r="H297" s="38"/>
      <c r="I297" s="38"/>
      <c r="J297" s="38"/>
      <c r="K297" s="38"/>
      <c r="L297" s="55"/>
      <c r="M297" s="38"/>
      <c r="N297" s="38"/>
      <c r="O297" s="38"/>
      <c r="P297" s="38"/>
    </row>
    <row r="298" ht="15.75" customHeight="1">
      <c r="D298" s="38"/>
      <c r="E298" s="38"/>
      <c r="F298" s="38"/>
      <c r="G298" s="38"/>
      <c r="H298" s="38"/>
      <c r="I298" s="38"/>
      <c r="J298" s="38"/>
      <c r="K298" s="38"/>
      <c r="L298" s="55"/>
      <c r="M298" s="38"/>
      <c r="N298" s="38"/>
      <c r="O298" s="38"/>
      <c r="P298" s="38"/>
    </row>
    <row r="299" ht="15.75" customHeight="1">
      <c r="D299" s="38"/>
      <c r="E299" s="38"/>
      <c r="F299" s="38"/>
      <c r="G299" s="38"/>
      <c r="H299" s="38"/>
      <c r="I299" s="38"/>
      <c r="J299" s="38"/>
      <c r="K299" s="38"/>
      <c r="L299" s="55"/>
      <c r="M299" s="38"/>
      <c r="N299" s="38"/>
      <c r="O299" s="38"/>
      <c r="P299" s="38"/>
    </row>
    <row r="300" ht="15.75" customHeight="1">
      <c r="D300" s="38"/>
      <c r="E300" s="38"/>
      <c r="F300" s="38"/>
      <c r="G300" s="38"/>
      <c r="H300" s="38"/>
      <c r="I300" s="38"/>
      <c r="J300" s="38"/>
      <c r="K300" s="38"/>
      <c r="L300" s="55"/>
      <c r="M300" s="38"/>
      <c r="N300" s="38"/>
      <c r="O300" s="38"/>
      <c r="P300" s="38"/>
    </row>
    <row r="301" ht="15.75" customHeight="1">
      <c r="D301" s="38"/>
      <c r="E301" s="38"/>
      <c r="F301" s="38"/>
      <c r="G301" s="38"/>
      <c r="H301" s="38"/>
      <c r="I301" s="38"/>
      <c r="J301" s="38"/>
      <c r="K301" s="38"/>
      <c r="L301" s="55"/>
      <c r="M301" s="38"/>
      <c r="N301" s="38"/>
      <c r="O301" s="38"/>
      <c r="P301" s="38"/>
    </row>
    <row r="302" ht="15.75" customHeight="1">
      <c r="D302" s="38"/>
      <c r="E302" s="38"/>
      <c r="F302" s="38"/>
      <c r="G302" s="38"/>
      <c r="H302" s="38"/>
      <c r="I302" s="38"/>
      <c r="J302" s="38"/>
      <c r="K302" s="38"/>
      <c r="L302" s="55"/>
      <c r="M302" s="38"/>
      <c r="N302" s="38"/>
      <c r="O302" s="38"/>
      <c r="P302" s="38"/>
    </row>
    <row r="303" ht="15.75" customHeight="1">
      <c r="D303" s="38"/>
      <c r="E303" s="38"/>
      <c r="F303" s="38"/>
      <c r="G303" s="38"/>
      <c r="H303" s="38"/>
      <c r="I303" s="38"/>
      <c r="J303" s="38"/>
      <c r="K303" s="38"/>
      <c r="L303" s="55"/>
      <c r="M303" s="38"/>
      <c r="N303" s="38"/>
      <c r="O303" s="38"/>
      <c r="P303" s="38"/>
    </row>
    <row r="304" ht="15.75" customHeight="1">
      <c r="D304" s="38"/>
      <c r="E304" s="38"/>
      <c r="F304" s="38"/>
      <c r="G304" s="38"/>
      <c r="H304" s="38"/>
      <c r="I304" s="38"/>
      <c r="J304" s="38"/>
      <c r="K304" s="38"/>
      <c r="L304" s="55"/>
      <c r="M304" s="38"/>
      <c r="N304" s="38"/>
      <c r="O304" s="38"/>
      <c r="P304" s="38"/>
    </row>
    <row r="305" ht="15.75" customHeight="1">
      <c r="D305" s="38"/>
      <c r="E305" s="38"/>
      <c r="F305" s="38"/>
      <c r="G305" s="38"/>
      <c r="H305" s="38"/>
      <c r="I305" s="38"/>
      <c r="J305" s="38"/>
      <c r="K305" s="38"/>
      <c r="L305" s="55"/>
      <c r="M305" s="38"/>
      <c r="N305" s="38"/>
      <c r="O305" s="38"/>
      <c r="P305" s="38"/>
    </row>
    <row r="306" ht="15.75" customHeight="1">
      <c r="D306" s="38"/>
      <c r="E306" s="38"/>
      <c r="F306" s="38"/>
      <c r="G306" s="38"/>
      <c r="H306" s="38"/>
      <c r="I306" s="38"/>
      <c r="J306" s="38"/>
      <c r="K306" s="38"/>
      <c r="L306" s="55"/>
      <c r="M306" s="38"/>
      <c r="N306" s="38"/>
      <c r="O306" s="38"/>
      <c r="P306" s="38"/>
    </row>
    <row r="307" ht="15.75" customHeight="1">
      <c r="D307" s="38"/>
      <c r="E307" s="38"/>
      <c r="F307" s="38"/>
      <c r="G307" s="38"/>
      <c r="H307" s="38"/>
      <c r="I307" s="38"/>
      <c r="J307" s="38"/>
      <c r="K307" s="38"/>
      <c r="L307" s="55"/>
      <c r="M307" s="38"/>
      <c r="N307" s="38"/>
      <c r="O307" s="38"/>
      <c r="P307" s="38"/>
    </row>
    <row r="308" ht="15.75" customHeight="1">
      <c r="D308" s="38"/>
      <c r="E308" s="38"/>
      <c r="F308" s="38"/>
      <c r="G308" s="38"/>
      <c r="H308" s="38"/>
      <c r="I308" s="38"/>
      <c r="J308" s="38"/>
      <c r="K308" s="38"/>
      <c r="L308" s="55"/>
      <c r="M308" s="38"/>
      <c r="N308" s="38"/>
      <c r="O308" s="38"/>
      <c r="P308" s="38"/>
    </row>
    <row r="309" ht="15.75" customHeight="1">
      <c r="D309" s="38"/>
      <c r="E309" s="38"/>
      <c r="F309" s="38"/>
      <c r="G309" s="38"/>
      <c r="H309" s="38"/>
      <c r="I309" s="38"/>
      <c r="J309" s="38"/>
      <c r="K309" s="38"/>
      <c r="L309" s="55"/>
      <c r="M309" s="38"/>
      <c r="N309" s="38"/>
      <c r="O309" s="38"/>
      <c r="P309" s="38"/>
    </row>
    <row r="310" ht="15.75" customHeight="1">
      <c r="D310" s="38"/>
      <c r="E310" s="38"/>
      <c r="F310" s="38"/>
      <c r="G310" s="38"/>
      <c r="H310" s="38"/>
      <c r="I310" s="38"/>
      <c r="J310" s="38"/>
      <c r="K310" s="38"/>
      <c r="L310" s="55"/>
      <c r="M310" s="38"/>
      <c r="N310" s="38"/>
      <c r="O310" s="38"/>
      <c r="P310" s="38"/>
    </row>
    <row r="311" ht="15.75" customHeight="1">
      <c r="D311" s="38"/>
      <c r="E311" s="38"/>
      <c r="F311" s="38"/>
      <c r="G311" s="38"/>
      <c r="H311" s="38"/>
      <c r="I311" s="38"/>
      <c r="J311" s="38"/>
      <c r="K311" s="38"/>
      <c r="L311" s="55"/>
      <c r="M311" s="38"/>
      <c r="N311" s="38"/>
      <c r="O311" s="38"/>
      <c r="P311" s="38"/>
    </row>
    <row r="312" ht="15.75" customHeight="1">
      <c r="D312" s="38"/>
      <c r="E312" s="38"/>
      <c r="F312" s="38"/>
      <c r="G312" s="38"/>
      <c r="H312" s="38"/>
      <c r="I312" s="38"/>
      <c r="J312" s="38"/>
      <c r="K312" s="38"/>
      <c r="L312" s="55"/>
      <c r="M312" s="38"/>
      <c r="N312" s="38"/>
      <c r="O312" s="38"/>
      <c r="P312" s="38"/>
    </row>
    <row r="313" ht="15.75" customHeight="1">
      <c r="D313" s="38"/>
      <c r="E313" s="38"/>
      <c r="F313" s="38"/>
      <c r="G313" s="38"/>
      <c r="H313" s="38"/>
      <c r="I313" s="38"/>
      <c r="J313" s="38"/>
      <c r="K313" s="38"/>
      <c r="L313" s="55"/>
      <c r="M313" s="38"/>
      <c r="N313" s="38"/>
      <c r="O313" s="38"/>
      <c r="P313" s="38"/>
    </row>
    <row r="314" ht="15.75" customHeight="1">
      <c r="D314" s="38"/>
      <c r="E314" s="38"/>
      <c r="F314" s="38"/>
      <c r="G314" s="38"/>
      <c r="H314" s="38"/>
      <c r="I314" s="38"/>
      <c r="J314" s="38"/>
      <c r="K314" s="38"/>
      <c r="L314" s="55"/>
      <c r="M314" s="38"/>
      <c r="N314" s="38"/>
      <c r="O314" s="38"/>
      <c r="P314" s="38"/>
    </row>
    <row r="315" ht="15.75" customHeight="1">
      <c r="D315" s="38"/>
      <c r="E315" s="38"/>
      <c r="F315" s="38"/>
      <c r="G315" s="38"/>
      <c r="H315" s="38"/>
      <c r="I315" s="38"/>
      <c r="J315" s="38"/>
      <c r="K315" s="38"/>
      <c r="L315" s="55"/>
      <c r="M315" s="38"/>
      <c r="N315" s="38"/>
      <c r="O315" s="38"/>
      <c r="P315" s="38"/>
    </row>
    <row r="316" ht="15.75" customHeight="1">
      <c r="D316" s="38"/>
      <c r="E316" s="38"/>
      <c r="F316" s="38"/>
      <c r="G316" s="38"/>
      <c r="H316" s="38"/>
      <c r="I316" s="38"/>
      <c r="J316" s="38"/>
      <c r="K316" s="38"/>
      <c r="L316" s="55"/>
      <c r="M316" s="38"/>
      <c r="N316" s="38"/>
      <c r="O316" s="38"/>
      <c r="P316" s="38"/>
    </row>
    <row r="317" ht="15.75" customHeight="1">
      <c r="D317" s="38"/>
      <c r="E317" s="38"/>
      <c r="F317" s="38"/>
      <c r="G317" s="38"/>
      <c r="H317" s="38"/>
      <c r="I317" s="38"/>
      <c r="J317" s="38"/>
      <c r="K317" s="38"/>
      <c r="L317" s="55"/>
      <c r="M317" s="38"/>
      <c r="N317" s="38"/>
      <c r="O317" s="38"/>
      <c r="P317" s="38"/>
    </row>
    <row r="318" ht="15.75" customHeight="1">
      <c r="D318" s="38"/>
      <c r="E318" s="38"/>
      <c r="F318" s="38"/>
      <c r="G318" s="38"/>
      <c r="H318" s="38"/>
      <c r="I318" s="38"/>
      <c r="J318" s="38"/>
      <c r="K318" s="38"/>
      <c r="L318" s="55"/>
      <c r="M318" s="38"/>
      <c r="N318" s="38"/>
      <c r="O318" s="38"/>
      <c r="P318" s="38"/>
    </row>
    <row r="319" ht="15.75" customHeight="1">
      <c r="D319" s="38"/>
      <c r="E319" s="38"/>
      <c r="F319" s="38"/>
      <c r="G319" s="38"/>
      <c r="H319" s="38"/>
      <c r="I319" s="38"/>
      <c r="J319" s="38"/>
      <c r="K319" s="38"/>
      <c r="L319" s="55"/>
      <c r="M319" s="38"/>
      <c r="N319" s="38"/>
      <c r="O319" s="38"/>
      <c r="P319" s="38"/>
    </row>
    <row r="320" ht="15.75" customHeight="1">
      <c r="D320" s="38"/>
      <c r="E320" s="38"/>
      <c r="F320" s="38"/>
      <c r="G320" s="38"/>
      <c r="H320" s="38"/>
      <c r="I320" s="38"/>
      <c r="J320" s="38"/>
      <c r="K320" s="38"/>
      <c r="L320" s="55"/>
      <c r="M320" s="38"/>
      <c r="N320" s="38"/>
      <c r="O320" s="38"/>
      <c r="P320" s="38"/>
    </row>
    <row r="321" ht="15.75" customHeight="1">
      <c r="D321" s="38"/>
      <c r="E321" s="38"/>
      <c r="F321" s="38"/>
      <c r="G321" s="38"/>
      <c r="H321" s="38"/>
      <c r="I321" s="38"/>
      <c r="J321" s="38"/>
      <c r="K321" s="38"/>
      <c r="L321" s="55"/>
      <c r="M321" s="38"/>
      <c r="N321" s="38"/>
      <c r="O321" s="38"/>
      <c r="P321" s="38"/>
    </row>
    <row r="322" ht="15.75" customHeight="1">
      <c r="D322" s="38"/>
      <c r="E322" s="38"/>
      <c r="F322" s="38"/>
      <c r="G322" s="38"/>
      <c r="H322" s="38"/>
      <c r="I322" s="38"/>
      <c r="J322" s="38"/>
      <c r="K322" s="38"/>
      <c r="L322" s="55"/>
      <c r="M322" s="38"/>
      <c r="N322" s="38"/>
      <c r="O322" s="38"/>
      <c r="P322" s="38"/>
    </row>
    <row r="323" ht="15.75" customHeight="1">
      <c r="D323" s="38"/>
      <c r="E323" s="38"/>
      <c r="F323" s="38"/>
      <c r="G323" s="38"/>
      <c r="H323" s="38"/>
      <c r="I323" s="38"/>
      <c r="J323" s="38"/>
      <c r="K323" s="38"/>
      <c r="L323" s="55"/>
      <c r="M323" s="38"/>
      <c r="N323" s="38"/>
      <c r="O323" s="38"/>
      <c r="P323" s="38"/>
    </row>
    <row r="324" ht="15.75" customHeight="1">
      <c r="D324" s="38"/>
      <c r="E324" s="38"/>
      <c r="F324" s="38"/>
      <c r="G324" s="38"/>
      <c r="H324" s="38"/>
      <c r="I324" s="38"/>
      <c r="J324" s="38"/>
      <c r="K324" s="38"/>
      <c r="L324" s="55"/>
      <c r="M324" s="38"/>
      <c r="N324" s="38"/>
      <c r="O324" s="38"/>
      <c r="P324" s="38"/>
    </row>
    <row r="325" ht="15.75" customHeight="1">
      <c r="D325" s="38"/>
      <c r="E325" s="38"/>
      <c r="F325" s="38"/>
      <c r="G325" s="38"/>
      <c r="H325" s="38"/>
      <c r="I325" s="38"/>
      <c r="J325" s="38"/>
      <c r="K325" s="38"/>
      <c r="L325" s="55"/>
      <c r="M325" s="38"/>
      <c r="N325" s="38"/>
      <c r="O325" s="38"/>
      <c r="P325" s="38"/>
    </row>
    <row r="326" ht="15.75" customHeight="1">
      <c r="D326" s="38"/>
      <c r="E326" s="38"/>
      <c r="F326" s="38"/>
      <c r="G326" s="38"/>
      <c r="H326" s="38"/>
      <c r="I326" s="38"/>
      <c r="J326" s="38"/>
      <c r="K326" s="38"/>
      <c r="L326" s="55"/>
      <c r="M326" s="38"/>
      <c r="N326" s="38"/>
      <c r="O326" s="38"/>
      <c r="P326" s="38"/>
    </row>
    <row r="327" ht="15.75" customHeight="1">
      <c r="D327" s="38"/>
      <c r="E327" s="38"/>
      <c r="F327" s="38"/>
      <c r="G327" s="38"/>
      <c r="H327" s="38"/>
      <c r="I327" s="38"/>
      <c r="J327" s="38"/>
      <c r="K327" s="38"/>
      <c r="L327" s="55"/>
      <c r="M327" s="38"/>
      <c r="N327" s="38"/>
      <c r="O327" s="38"/>
      <c r="P327" s="38"/>
    </row>
    <row r="328" ht="15.75" customHeight="1">
      <c r="D328" s="38"/>
      <c r="E328" s="38"/>
      <c r="F328" s="38"/>
      <c r="G328" s="38"/>
      <c r="H328" s="38"/>
      <c r="I328" s="38"/>
      <c r="J328" s="38"/>
      <c r="K328" s="38"/>
      <c r="L328" s="55"/>
      <c r="M328" s="38"/>
      <c r="N328" s="38"/>
      <c r="O328" s="38"/>
      <c r="P328" s="38"/>
    </row>
    <row r="329" ht="15.75" customHeight="1">
      <c r="D329" s="38"/>
      <c r="E329" s="38"/>
      <c r="F329" s="38"/>
      <c r="G329" s="38"/>
      <c r="H329" s="38"/>
      <c r="I329" s="38"/>
      <c r="J329" s="38"/>
      <c r="K329" s="38"/>
      <c r="L329" s="55"/>
      <c r="M329" s="38"/>
      <c r="N329" s="38"/>
      <c r="O329" s="38"/>
      <c r="P329" s="38"/>
    </row>
    <row r="330" ht="15.75" customHeight="1">
      <c r="D330" s="38"/>
      <c r="E330" s="38"/>
      <c r="F330" s="38"/>
      <c r="G330" s="38"/>
      <c r="H330" s="38"/>
      <c r="I330" s="38"/>
      <c r="J330" s="38"/>
      <c r="K330" s="38"/>
      <c r="L330" s="55"/>
      <c r="M330" s="38"/>
      <c r="N330" s="38"/>
      <c r="O330" s="38"/>
      <c r="P330" s="38"/>
    </row>
    <row r="331" ht="15.75" customHeight="1">
      <c r="D331" s="38"/>
      <c r="E331" s="38"/>
      <c r="F331" s="38"/>
      <c r="G331" s="38"/>
      <c r="H331" s="38"/>
      <c r="I331" s="38"/>
      <c r="J331" s="38"/>
      <c r="K331" s="38"/>
      <c r="L331" s="55"/>
      <c r="M331" s="38"/>
      <c r="N331" s="38"/>
      <c r="O331" s="38"/>
      <c r="P331" s="38"/>
    </row>
    <row r="332" ht="15.75" customHeight="1">
      <c r="D332" s="38"/>
      <c r="E332" s="38"/>
      <c r="F332" s="38"/>
      <c r="G332" s="38"/>
      <c r="H332" s="38"/>
      <c r="I332" s="38"/>
      <c r="J332" s="38"/>
      <c r="K332" s="38"/>
      <c r="L332" s="55"/>
      <c r="M332" s="38"/>
      <c r="N332" s="38"/>
      <c r="O332" s="38"/>
      <c r="P332" s="38"/>
    </row>
    <row r="333" ht="15.75" customHeight="1">
      <c r="D333" s="38"/>
      <c r="E333" s="38"/>
      <c r="F333" s="38"/>
      <c r="G333" s="38"/>
      <c r="H333" s="38"/>
      <c r="I333" s="38"/>
      <c r="J333" s="38"/>
      <c r="K333" s="38"/>
      <c r="L333" s="55"/>
      <c r="M333" s="38"/>
      <c r="N333" s="38"/>
      <c r="O333" s="38"/>
      <c r="P333" s="38"/>
    </row>
    <row r="334" ht="15.75" customHeight="1">
      <c r="D334" s="38"/>
      <c r="E334" s="38"/>
      <c r="F334" s="38"/>
      <c r="G334" s="38"/>
      <c r="H334" s="38"/>
      <c r="I334" s="38"/>
      <c r="J334" s="38"/>
      <c r="K334" s="38"/>
      <c r="L334" s="55"/>
      <c r="M334" s="38"/>
      <c r="N334" s="38"/>
      <c r="O334" s="38"/>
      <c r="P334" s="38"/>
    </row>
    <row r="335" ht="15.75" customHeight="1">
      <c r="D335" s="38"/>
      <c r="E335" s="38"/>
      <c r="F335" s="38"/>
      <c r="G335" s="38"/>
      <c r="H335" s="38"/>
      <c r="I335" s="38"/>
      <c r="J335" s="38"/>
      <c r="K335" s="38"/>
      <c r="L335" s="55"/>
      <c r="M335" s="38"/>
      <c r="N335" s="38"/>
      <c r="O335" s="38"/>
      <c r="P335" s="38"/>
    </row>
    <row r="336" ht="15.75" customHeight="1">
      <c r="D336" s="38"/>
      <c r="E336" s="38"/>
      <c r="F336" s="38"/>
      <c r="G336" s="38"/>
      <c r="H336" s="38"/>
      <c r="I336" s="38"/>
      <c r="J336" s="38"/>
      <c r="K336" s="38"/>
      <c r="L336" s="55"/>
      <c r="M336" s="38"/>
      <c r="N336" s="38"/>
      <c r="O336" s="38"/>
      <c r="P336" s="38"/>
    </row>
    <row r="337" ht="15.75" customHeight="1">
      <c r="D337" s="38"/>
      <c r="E337" s="38"/>
      <c r="F337" s="38"/>
      <c r="G337" s="38"/>
      <c r="H337" s="38"/>
      <c r="I337" s="38"/>
      <c r="J337" s="38"/>
      <c r="K337" s="38"/>
      <c r="L337" s="55"/>
      <c r="M337" s="38"/>
      <c r="N337" s="38"/>
      <c r="O337" s="38"/>
      <c r="P337" s="38"/>
    </row>
    <row r="338" ht="15.75" customHeight="1">
      <c r="D338" s="38"/>
      <c r="E338" s="38"/>
      <c r="F338" s="38"/>
      <c r="G338" s="38"/>
      <c r="H338" s="38"/>
      <c r="I338" s="38"/>
      <c r="J338" s="38"/>
      <c r="K338" s="38"/>
      <c r="L338" s="55"/>
      <c r="M338" s="38"/>
      <c r="N338" s="38"/>
      <c r="O338" s="38"/>
      <c r="P338" s="38"/>
    </row>
    <row r="339" ht="15.75" customHeight="1">
      <c r="D339" s="38"/>
      <c r="E339" s="38"/>
      <c r="F339" s="38"/>
      <c r="G339" s="38"/>
      <c r="H339" s="38"/>
      <c r="I339" s="38"/>
      <c r="J339" s="38"/>
      <c r="K339" s="38"/>
      <c r="L339" s="55"/>
      <c r="M339" s="38"/>
      <c r="N339" s="38"/>
      <c r="O339" s="38"/>
      <c r="P339" s="38"/>
    </row>
    <row r="340" ht="15.75" customHeight="1">
      <c r="D340" s="38"/>
      <c r="E340" s="38"/>
      <c r="F340" s="38"/>
      <c r="G340" s="38"/>
      <c r="H340" s="38"/>
      <c r="I340" s="38"/>
      <c r="J340" s="38"/>
      <c r="K340" s="38"/>
      <c r="L340" s="55"/>
      <c r="M340" s="38"/>
      <c r="N340" s="38"/>
      <c r="O340" s="38"/>
      <c r="P340" s="38"/>
    </row>
    <row r="341" ht="15.75" customHeight="1">
      <c r="D341" s="38"/>
      <c r="E341" s="38"/>
      <c r="F341" s="38"/>
      <c r="G341" s="38"/>
      <c r="H341" s="38"/>
      <c r="I341" s="38"/>
      <c r="J341" s="38"/>
      <c r="K341" s="38"/>
      <c r="L341" s="55"/>
      <c r="M341" s="38"/>
      <c r="N341" s="38"/>
      <c r="O341" s="38"/>
      <c r="P341" s="38"/>
    </row>
    <row r="342" ht="15.75" customHeight="1">
      <c r="D342" s="38"/>
      <c r="E342" s="38"/>
      <c r="F342" s="38"/>
      <c r="G342" s="38"/>
      <c r="H342" s="38"/>
      <c r="I342" s="38"/>
      <c r="J342" s="38"/>
      <c r="K342" s="38"/>
      <c r="L342" s="55"/>
      <c r="M342" s="38"/>
      <c r="N342" s="38"/>
      <c r="O342" s="38"/>
      <c r="P342" s="38"/>
    </row>
    <row r="343" ht="15.75" customHeight="1">
      <c r="D343" s="38"/>
      <c r="E343" s="38"/>
      <c r="F343" s="38"/>
      <c r="G343" s="38"/>
      <c r="H343" s="38"/>
      <c r="I343" s="38"/>
      <c r="J343" s="38"/>
      <c r="K343" s="38"/>
      <c r="L343" s="55"/>
      <c r="M343" s="38"/>
      <c r="N343" s="38"/>
      <c r="O343" s="38"/>
      <c r="P343" s="38"/>
    </row>
    <row r="344" ht="15.75" customHeight="1">
      <c r="D344" s="38"/>
      <c r="E344" s="38"/>
      <c r="F344" s="38"/>
      <c r="G344" s="38"/>
      <c r="H344" s="38"/>
      <c r="I344" s="38"/>
      <c r="J344" s="38"/>
      <c r="K344" s="38"/>
      <c r="L344" s="55"/>
      <c r="M344" s="38"/>
      <c r="N344" s="38"/>
      <c r="O344" s="38"/>
      <c r="P344" s="38"/>
    </row>
    <row r="345" ht="15.75" customHeight="1">
      <c r="D345" s="38"/>
      <c r="E345" s="38"/>
      <c r="F345" s="38"/>
      <c r="G345" s="38"/>
      <c r="H345" s="38"/>
      <c r="I345" s="38"/>
      <c r="J345" s="38"/>
      <c r="K345" s="38"/>
      <c r="L345" s="55"/>
      <c r="M345" s="38"/>
      <c r="N345" s="38"/>
      <c r="O345" s="38"/>
      <c r="P345" s="38"/>
    </row>
    <row r="346" ht="15.75" customHeight="1">
      <c r="D346" s="38"/>
      <c r="E346" s="38"/>
      <c r="F346" s="38"/>
      <c r="G346" s="38"/>
      <c r="H346" s="38"/>
      <c r="I346" s="38"/>
      <c r="J346" s="38"/>
      <c r="K346" s="38"/>
      <c r="L346" s="55"/>
      <c r="M346" s="38"/>
      <c r="N346" s="38"/>
      <c r="O346" s="38"/>
      <c r="P346" s="38"/>
    </row>
    <row r="347" ht="15.75" customHeight="1">
      <c r="D347" s="38"/>
      <c r="E347" s="38"/>
      <c r="F347" s="38"/>
      <c r="G347" s="38"/>
      <c r="H347" s="38"/>
      <c r="I347" s="38"/>
      <c r="J347" s="38"/>
      <c r="K347" s="38"/>
      <c r="L347" s="55"/>
      <c r="M347" s="38"/>
      <c r="N347" s="38"/>
      <c r="O347" s="38"/>
      <c r="P347" s="38"/>
    </row>
    <row r="348" ht="15.75" customHeight="1">
      <c r="D348" s="38"/>
      <c r="E348" s="38"/>
      <c r="F348" s="38"/>
      <c r="G348" s="38"/>
      <c r="H348" s="38"/>
      <c r="I348" s="38"/>
      <c r="J348" s="38"/>
      <c r="K348" s="38"/>
      <c r="L348" s="55"/>
      <c r="M348" s="38"/>
      <c r="N348" s="38"/>
      <c r="O348" s="38"/>
      <c r="P348" s="38"/>
    </row>
    <row r="349" ht="15.75" customHeight="1">
      <c r="D349" s="38"/>
      <c r="E349" s="38"/>
      <c r="F349" s="38"/>
      <c r="G349" s="38"/>
      <c r="H349" s="38"/>
      <c r="I349" s="38"/>
      <c r="J349" s="38"/>
      <c r="K349" s="38"/>
      <c r="L349" s="55"/>
      <c r="M349" s="38"/>
      <c r="N349" s="38"/>
      <c r="O349" s="38"/>
      <c r="P349" s="38"/>
    </row>
    <row r="350" ht="15.75" customHeight="1">
      <c r="D350" s="38"/>
      <c r="E350" s="38"/>
      <c r="F350" s="38"/>
      <c r="G350" s="38"/>
      <c r="H350" s="38"/>
      <c r="I350" s="38"/>
      <c r="J350" s="38"/>
      <c r="K350" s="38"/>
      <c r="L350" s="55"/>
      <c r="M350" s="38"/>
      <c r="N350" s="38"/>
      <c r="O350" s="38"/>
      <c r="P350" s="38"/>
    </row>
    <row r="351" ht="15.75" customHeight="1">
      <c r="D351" s="38"/>
      <c r="E351" s="38"/>
      <c r="F351" s="38"/>
      <c r="G351" s="38"/>
      <c r="H351" s="38"/>
      <c r="I351" s="38"/>
      <c r="J351" s="38"/>
      <c r="K351" s="38"/>
      <c r="L351" s="55"/>
      <c r="M351" s="38"/>
      <c r="N351" s="38"/>
      <c r="O351" s="38"/>
      <c r="P351" s="38"/>
    </row>
    <row r="352" ht="15.75" customHeight="1">
      <c r="D352" s="38"/>
      <c r="E352" s="38"/>
      <c r="F352" s="38"/>
      <c r="G352" s="38"/>
      <c r="H352" s="38"/>
      <c r="I352" s="38"/>
      <c r="J352" s="38"/>
      <c r="K352" s="38"/>
      <c r="L352" s="55"/>
      <c r="M352" s="38"/>
      <c r="N352" s="38"/>
      <c r="O352" s="38"/>
      <c r="P352" s="38"/>
    </row>
    <row r="353" ht="15.75" customHeight="1">
      <c r="D353" s="38"/>
      <c r="E353" s="38"/>
      <c r="F353" s="38"/>
      <c r="G353" s="38"/>
      <c r="H353" s="38"/>
      <c r="I353" s="38"/>
      <c r="J353" s="38"/>
      <c r="K353" s="38"/>
      <c r="L353" s="55"/>
      <c r="M353" s="38"/>
      <c r="N353" s="38"/>
      <c r="O353" s="38"/>
      <c r="P353" s="38"/>
    </row>
    <row r="354" ht="15.75" customHeight="1">
      <c r="D354" s="38"/>
      <c r="E354" s="38"/>
      <c r="F354" s="38"/>
      <c r="G354" s="38"/>
      <c r="H354" s="38"/>
      <c r="I354" s="38"/>
      <c r="J354" s="38"/>
      <c r="K354" s="38"/>
      <c r="L354" s="55"/>
      <c r="M354" s="38"/>
      <c r="N354" s="38"/>
      <c r="O354" s="38"/>
      <c r="P354" s="38"/>
    </row>
    <row r="355" ht="15.75" customHeight="1">
      <c r="D355" s="38"/>
      <c r="E355" s="38"/>
      <c r="F355" s="38"/>
      <c r="G355" s="38"/>
      <c r="H355" s="38"/>
      <c r="I355" s="38"/>
      <c r="J355" s="38"/>
      <c r="K355" s="38"/>
      <c r="L355" s="55"/>
      <c r="M355" s="38"/>
      <c r="N355" s="38"/>
      <c r="O355" s="38"/>
      <c r="P355" s="38"/>
    </row>
    <row r="356" ht="15.75" customHeight="1">
      <c r="D356" s="38"/>
      <c r="E356" s="38"/>
      <c r="F356" s="38"/>
      <c r="G356" s="38"/>
      <c r="H356" s="38"/>
      <c r="I356" s="38"/>
      <c r="J356" s="38"/>
      <c r="K356" s="38"/>
      <c r="L356" s="55"/>
      <c r="M356" s="38"/>
      <c r="N356" s="38"/>
      <c r="O356" s="38"/>
      <c r="P356" s="38"/>
    </row>
    <row r="357" ht="15.75" customHeight="1">
      <c r="D357" s="38"/>
      <c r="E357" s="38"/>
      <c r="F357" s="38"/>
      <c r="G357" s="38"/>
      <c r="H357" s="38"/>
      <c r="I357" s="38"/>
      <c r="J357" s="38"/>
      <c r="K357" s="38"/>
      <c r="L357" s="55"/>
      <c r="M357" s="38"/>
      <c r="N357" s="38"/>
      <c r="O357" s="38"/>
      <c r="P357" s="38"/>
    </row>
    <row r="358" ht="15.75" customHeight="1">
      <c r="D358" s="38"/>
      <c r="E358" s="38"/>
      <c r="F358" s="38"/>
      <c r="G358" s="38"/>
      <c r="H358" s="38"/>
      <c r="I358" s="38"/>
      <c r="J358" s="38"/>
      <c r="K358" s="38"/>
      <c r="L358" s="55"/>
      <c r="M358" s="38"/>
      <c r="N358" s="38"/>
      <c r="O358" s="38"/>
      <c r="P358" s="38"/>
    </row>
    <row r="359" ht="15.75" customHeight="1">
      <c r="D359" s="38"/>
      <c r="E359" s="38"/>
      <c r="F359" s="38"/>
      <c r="G359" s="38"/>
      <c r="H359" s="38"/>
      <c r="I359" s="38"/>
      <c r="J359" s="38"/>
      <c r="K359" s="38"/>
      <c r="L359" s="55"/>
      <c r="M359" s="38"/>
      <c r="N359" s="38"/>
      <c r="O359" s="38"/>
      <c r="P359" s="38"/>
    </row>
    <row r="360" ht="15.75" customHeight="1">
      <c r="D360" s="38"/>
      <c r="E360" s="38"/>
      <c r="F360" s="38"/>
      <c r="G360" s="38"/>
      <c r="H360" s="38"/>
      <c r="I360" s="38"/>
      <c r="J360" s="38"/>
      <c r="K360" s="38"/>
      <c r="L360" s="55"/>
      <c r="M360" s="38"/>
      <c r="N360" s="38"/>
      <c r="O360" s="38"/>
      <c r="P360" s="38"/>
    </row>
    <row r="361" ht="15.75" customHeight="1">
      <c r="D361" s="38"/>
      <c r="E361" s="38"/>
      <c r="F361" s="38"/>
      <c r="G361" s="38"/>
      <c r="H361" s="38"/>
      <c r="I361" s="38"/>
      <c r="J361" s="38"/>
      <c r="K361" s="38"/>
      <c r="L361" s="55"/>
      <c r="M361" s="38"/>
      <c r="N361" s="38"/>
      <c r="O361" s="38"/>
      <c r="P361" s="38"/>
    </row>
    <row r="362" ht="15.75" customHeight="1">
      <c r="D362" s="38"/>
      <c r="E362" s="38"/>
      <c r="F362" s="38"/>
      <c r="G362" s="38"/>
      <c r="H362" s="38"/>
      <c r="I362" s="38"/>
      <c r="J362" s="38"/>
      <c r="K362" s="38"/>
      <c r="L362" s="55"/>
      <c r="M362" s="38"/>
      <c r="N362" s="38"/>
      <c r="O362" s="38"/>
      <c r="P362" s="38"/>
    </row>
    <row r="363" ht="15.75" customHeight="1">
      <c r="D363" s="38"/>
      <c r="E363" s="38"/>
      <c r="F363" s="38"/>
      <c r="G363" s="38"/>
      <c r="H363" s="38"/>
      <c r="I363" s="38"/>
      <c r="J363" s="38"/>
      <c r="K363" s="38"/>
      <c r="L363" s="55"/>
      <c r="M363" s="38"/>
      <c r="N363" s="38"/>
      <c r="O363" s="38"/>
      <c r="P363" s="38"/>
    </row>
    <row r="364" ht="15.75" customHeight="1">
      <c r="D364" s="38"/>
      <c r="E364" s="38"/>
      <c r="F364" s="38"/>
      <c r="G364" s="38"/>
      <c r="H364" s="38"/>
      <c r="I364" s="38"/>
      <c r="J364" s="38"/>
      <c r="K364" s="38"/>
      <c r="L364" s="55"/>
      <c r="M364" s="38"/>
      <c r="N364" s="38"/>
      <c r="O364" s="38"/>
      <c r="P364" s="38"/>
    </row>
    <row r="365" ht="15.75" customHeight="1">
      <c r="D365" s="38"/>
      <c r="E365" s="38"/>
      <c r="F365" s="38"/>
      <c r="G365" s="38"/>
      <c r="H365" s="38"/>
      <c r="I365" s="38"/>
      <c r="J365" s="38"/>
      <c r="K365" s="38"/>
      <c r="L365" s="55"/>
      <c r="M365" s="38"/>
      <c r="N365" s="38"/>
      <c r="O365" s="38"/>
      <c r="P365" s="38"/>
    </row>
    <row r="366" ht="15.75" customHeight="1">
      <c r="D366" s="38"/>
      <c r="E366" s="38"/>
      <c r="F366" s="38"/>
      <c r="G366" s="38"/>
      <c r="H366" s="38"/>
      <c r="I366" s="38"/>
      <c r="J366" s="38"/>
      <c r="K366" s="38"/>
      <c r="L366" s="55"/>
      <c r="M366" s="38"/>
      <c r="N366" s="38"/>
      <c r="O366" s="38"/>
      <c r="P366" s="38"/>
    </row>
    <row r="367" ht="15.75" customHeight="1">
      <c r="D367" s="38"/>
      <c r="E367" s="38"/>
      <c r="F367" s="38"/>
      <c r="G367" s="38"/>
      <c r="H367" s="38"/>
      <c r="I367" s="38"/>
      <c r="J367" s="38"/>
      <c r="K367" s="38"/>
      <c r="L367" s="55"/>
      <c r="M367" s="38"/>
      <c r="N367" s="38"/>
      <c r="O367" s="38"/>
      <c r="P367" s="38"/>
    </row>
    <row r="368" ht="15.75" customHeight="1">
      <c r="D368" s="38"/>
      <c r="E368" s="38"/>
      <c r="F368" s="38"/>
      <c r="G368" s="38"/>
      <c r="H368" s="38"/>
      <c r="I368" s="38"/>
      <c r="J368" s="38"/>
      <c r="K368" s="38"/>
      <c r="L368" s="55"/>
      <c r="M368" s="38"/>
      <c r="N368" s="38"/>
      <c r="O368" s="38"/>
      <c r="P368" s="38"/>
    </row>
    <row r="369" ht="15.75" customHeight="1">
      <c r="D369" s="38"/>
      <c r="E369" s="38"/>
      <c r="F369" s="38"/>
      <c r="G369" s="38"/>
      <c r="H369" s="38"/>
      <c r="I369" s="38"/>
      <c r="J369" s="38"/>
      <c r="K369" s="38"/>
      <c r="L369" s="55"/>
      <c r="M369" s="38"/>
      <c r="N369" s="38"/>
      <c r="O369" s="38"/>
      <c r="P369" s="38"/>
    </row>
    <row r="370" ht="15.75" customHeight="1">
      <c r="D370" s="38"/>
      <c r="E370" s="38"/>
      <c r="F370" s="38"/>
      <c r="G370" s="38"/>
      <c r="H370" s="38"/>
      <c r="I370" s="38"/>
      <c r="J370" s="38"/>
      <c r="K370" s="38"/>
      <c r="L370" s="55"/>
      <c r="M370" s="38"/>
      <c r="N370" s="38"/>
      <c r="O370" s="38"/>
      <c r="P370" s="38"/>
    </row>
    <row r="371" ht="15.75" customHeight="1">
      <c r="D371" s="38"/>
      <c r="E371" s="38"/>
      <c r="F371" s="38"/>
      <c r="G371" s="38"/>
      <c r="H371" s="38"/>
      <c r="I371" s="38"/>
      <c r="J371" s="38"/>
      <c r="K371" s="38"/>
      <c r="L371" s="55"/>
      <c r="M371" s="38"/>
      <c r="N371" s="38"/>
      <c r="O371" s="38"/>
      <c r="P371" s="38"/>
    </row>
    <row r="372" ht="15.75" customHeight="1">
      <c r="D372" s="38"/>
      <c r="E372" s="38"/>
      <c r="F372" s="38"/>
      <c r="G372" s="38"/>
      <c r="H372" s="38"/>
      <c r="I372" s="38"/>
      <c r="J372" s="38"/>
      <c r="K372" s="38"/>
      <c r="L372" s="55"/>
      <c r="M372" s="38"/>
      <c r="N372" s="38"/>
      <c r="O372" s="38"/>
      <c r="P372" s="38"/>
    </row>
    <row r="373" ht="15.75" customHeight="1">
      <c r="D373" s="38"/>
      <c r="E373" s="38"/>
      <c r="F373" s="38"/>
      <c r="G373" s="38"/>
      <c r="H373" s="38"/>
      <c r="I373" s="38"/>
      <c r="J373" s="38"/>
      <c r="K373" s="38"/>
      <c r="L373" s="55"/>
      <c r="M373" s="38"/>
      <c r="N373" s="38"/>
      <c r="O373" s="38"/>
      <c r="P373" s="38"/>
    </row>
    <row r="374" ht="15.75" customHeight="1">
      <c r="D374" s="38"/>
      <c r="E374" s="38"/>
      <c r="F374" s="38"/>
      <c r="G374" s="38"/>
      <c r="H374" s="38"/>
      <c r="I374" s="38"/>
      <c r="J374" s="38"/>
      <c r="K374" s="38"/>
      <c r="L374" s="55"/>
      <c r="M374" s="38"/>
      <c r="N374" s="38"/>
      <c r="O374" s="38"/>
      <c r="P374" s="38"/>
    </row>
    <row r="375" ht="15.75" customHeight="1">
      <c r="D375" s="38"/>
      <c r="E375" s="38"/>
      <c r="F375" s="38"/>
      <c r="G375" s="38"/>
      <c r="H375" s="38"/>
      <c r="I375" s="38"/>
      <c r="J375" s="38"/>
      <c r="K375" s="38"/>
      <c r="L375" s="55"/>
      <c r="M375" s="38"/>
      <c r="N375" s="38"/>
      <c r="O375" s="38"/>
      <c r="P375" s="38"/>
    </row>
    <row r="376" ht="15.75" customHeight="1">
      <c r="D376" s="38"/>
      <c r="E376" s="38"/>
      <c r="F376" s="38"/>
      <c r="G376" s="38"/>
      <c r="H376" s="38"/>
      <c r="I376" s="38"/>
      <c r="J376" s="38"/>
      <c r="K376" s="38"/>
      <c r="L376" s="55"/>
      <c r="M376" s="38"/>
      <c r="N376" s="38"/>
      <c r="O376" s="38"/>
      <c r="P376" s="38"/>
    </row>
    <row r="377" ht="15.75" customHeight="1">
      <c r="D377" s="38"/>
      <c r="E377" s="38"/>
      <c r="F377" s="38"/>
      <c r="G377" s="38"/>
      <c r="H377" s="38"/>
      <c r="I377" s="38"/>
      <c r="J377" s="38"/>
      <c r="K377" s="38"/>
      <c r="L377" s="55"/>
      <c r="M377" s="38"/>
      <c r="N377" s="38"/>
      <c r="O377" s="38"/>
      <c r="P377" s="38"/>
    </row>
    <row r="378" ht="15.75" customHeight="1">
      <c r="D378" s="38"/>
      <c r="E378" s="38"/>
      <c r="F378" s="38"/>
      <c r="G378" s="38"/>
      <c r="H378" s="38"/>
      <c r="I378" s="38"/>
      <c r="J378" s="38"/>
      <c r="K378" s="38"/>
      <c r="L378" s="55"/>
      <c r="M378" s="38"/>
      <c r="N378" s="38"/>
      <c r="O378" s="38"/>
      <c r="P378" s="38"/>
    </row>
    <row r="379" ht="15.75" customHeight="1">
      <c r="D379" s="38"/>
      <c r="E379" s="38"/>
      <c r="F379" s="38"/>
      <c r="G379" s="38"/>
      <c r="H379" s="38"/>
      <c r="I379" s="38"/>
      <c r="J379" s="38"/>
      <c r="K379" s="38"/>
      <c r="L379" s="55"/>
      <c r="M379" s="38"/>
      <c r="N379" s="38"/>
      <c r="O379" s="38"/>
      <c r="P379" s="38"/>
    </row>
    <row r="380" ht="15.75" customHeight="1">
      <c r="D380" s="38"/>
      <c r="E380" s="38"/>
      <c r="F380" s="38"/>
      <c r="G380" s="38"/>
      <c r="H380" s="38"/>
      <c r="I380" s="38"/>
      <c r="J380" s="38"/>
      <c r="K380" s="38"/>
      <c r="L380" s="55"/>
      <c r="M380" s="38"/>
      <c r="N380" s="38"/>
      <c r="O380" s="38"/>
      <c r="P380" s="38"/>
    </row>
    <row r="381" ht="15.75" customHeight="1">
      <c r="D381" s="38"/>
      <c r="E381" s="38"/>
      <c r="F381" s="38"/>
      <c r="G381" s="38"/>
      <c r="H381" s="38"/>
      <c r="I381" s="38"/>
      <c r="J381" s="38"/>
      <c r="K381" s="38"/>
      <c r="L381" s="55"/>
      <c r="M381" s="38"/>
      <c r="N381" s="38"/>
      <c r="O381" s="38"/>
      <c r="P381" s="38"/>
    </row>
    <row r="382" ht="15.75" customHeight="1">
      <c r="D382" s="38"/>
      <c r="E382" s="38"/>
      <c r="F382" s="38"/>
      <c r="G382" s="38"/>
      <c r="H382" s="38"/>
      <c r="I382" s="38"/>
      <c r="J382" s="38"/>
      <c r="K382" s="38"/>
      <c r="L382" s="55"/>
      <c r="M382" s="38"/>
      <c r="N382" s="38"/>
      <c r="O382" s="38"/>
      <c r="P382" s="38"/>
    </row>
    <row r="383" ht="15.75" customHeight="1">
      <c r="D383" s="38"/>
      <c r="E383" s="38"/>
      <c r="F383" s="38"/>
      <c r="G383" s="38"/>
      <c r="H383" s="38"/>
      <c r="I383" s="38"/>
      <c r="J383" s="38"/>
      <c r="K383" s="38"/>
      <c r="L383" s="55"/>
      <c r="M383" s="38"/>
      <c r="N383" s="38"/>
      <c r="O383" s="38"/>
      <c r="P383" s="38"/>
    </row>
    <row r="384" ht="15.75" customHeight="1">
      <c r="D384" s="38"/>
      <c r="E384" s="38"/>
      <c r="F384" s="38"/>
      <c r="G384" s="38"/>
      <c r="H384" s="38"/>
      <c r="I384" s="38"/>
      <c r="J384" s="38"/>
      <c r="K384" s="38"/>
      <c r="L384" s="55"/>
      <c r="M384" s="38"/>
      <c r="N384" s="38"/>
      <c r="O384" s="38"/>
      <c r="P384" s="38"/>
    </row>
    <row r="385" ht="15.75" customHeight="1">
      <c r="D385" s="38"/>
      <c r="E385" s="38"/>
      <c r="F385" s="38"/>
      <c r="G385" s="38"/>
      <c r="H385" s="38"/>
      <c r="I385" s="38"/>
      <c r="J385" s="38"/>
      <c r="K385" s="38"/>
      <c r="L385" s="55"/>
      <c r="M385" s="38"/>
      <c r="N385" s="38"/>
      <c r="O385" s="38"/>
      <c r="P385" s="38"/>
    </row>
    <row r="386" ht="15.75" customHeight="1">
      <c r="D386" s="38"/>
      <c r="E386" s="38"/>
      <c r="F386" s="38"/>
      <c r="G386" s="38"/>
      <c r="H386" s="38"/>
      <c r="I386" s="38"/>
      <c r="J386" s="38"/>
      <c r="K386" s="38"/>
      <c r="L386" s="55"/>
      <c r="M386" s="38"/>
      <c r="N386" s="38"/>
      <c r="O386" s="38"/>
      <c r="P386" s="38"/>
    </row>
    <row r="387" ht="15.75" customHeight="1">
      <c r="D387" s="38"/>
      <c r="E387" s="38"/>
      <c r="F387" s="38"/>
      <c r="G387" s="38"/>
      <c r="H387" s="38"/>
      <c r="I387" s="38"/>
      <c r="J387" s="38"/>
      <c r="K387" s="38"/>
      <c r="L387" s="55"/>
      <c r="M387" s="38"/>
      <c r="N387" s="38"/>
      <c r="O387" s="38"/>
      <c r="P387" s="38"/>
    </row>
    <row r="388" ht="15.75" customHeight="1">
      <c r="D388" s="38"/>
      <c r="E388" s="38"/>
      <c r="F388" s="38"/>
      <c r="G388" s="38"/>
      <c r="H388" s="38"/>
      <c r="I388" s="38"/>
      <c r="J388" s="38"/>
      <c r="K388" s="38"/>
      <c r="L388" s="55"/>
      <c r="M388" s="38"/>
      <c r="N388" s="38"/>
      <c r="O388" s="38"/>
      <c r="P388" s="38"/>
    </row>
    <row r="389" ht="15.75" customHeight="1">
      <c r="D389" s="38"/>
      <c r="E389" s="38"/>
      <c r="F389" s="38"/>
      <c r="G389" s="38"/>
      <c r="H389" s="38"/>
      <c r="I389" s="38"/>
      <c r="J389" s="38"/>
      <c r="K389" s="38"/>
      <c r="L389" s="55"/>
      <c r="M389" s="38"/>
      <c r="N389" s="38"/>
      <c r="O389" s="38"/>
      <c r="P389" s="38"/>
    </row>
    <row r="390" ht="15.75" customHeight="1">
      <c r="D390" s="38"/>
      <c r="E390" s="38"/>
      <c r="F390" s="38"/>
      <c r="G390" s="38"/>
      <c r="H390" s="38"/>
      <c r="I390" s="38"/>
      <c r="J390" s="38"/>
      <c r="K390" s="38"/>
      <c r="L390" s="55"/>
      <c r="M390" s="38"/>
      <c r="N390" s="38"/>
      <c r="O390" s="38"/>
      <c r="P390" s="38"/>
    </row>
    <row r="391" ht="15.75" customHeight="1">
      <c r="D391" s="38"/>
      <c r="E391" s="38"/>
      <c r="F391" s="38"/>
      <c r="G391" s="38"/>
      <c r="H391" s="38"/>
      <c r="I391" s="38"/>
      <c r="J391" s="38"/>
      <c r="K391" s="38"/>
      <c r="L391" s="55"/>
      <c r="M391" s="38"/>
      <c r="N391" s="38"/>
      <c r="O391" s="38"/>
      <c r="P391" s="38"/>
    </row>
    <row r="392" ht="15.75" customHeight="1">
      <c r="D392" s="38"/>
      <c r="E392" s="38"/>
      <c r="F392" s="38"/>
      <c r="G392" s="38"/>
      <c r="H392" s="38"/>
      <c r="I392" s="38"/>
      <c r="J392" s="38"/>
      <c r="K392" s="38"/>
      <c r="L392" s="55"/>
      <c r="M392" s="38"/>
      <c r="N392" s="38"/>
      <c r="O392" s="38"/>
      <c r="P392" s="38"/>
    </row>
    <row r="393" ht="15.75" customHeight="1">
      <c r="D393" s="38"/>
      <c r="E393" s="38"/>
      <c r="F393" s="38"/>
      <c r="G393" s="38"/>
      <c r="H393" s="38"/>
      <c r="I393" s="38"/>
      <c r="J393" s="38"/>
      <c r="K393" s="38"/>
      <c r="L393" s="55"/>
      <c r="M393" s="38"/>
      <c r="N393" s="38"/>
      <c r="O393" s="38"/>
      <c r="P393" s="38"/>
    </row>
    <row r="394" ht="15.75" customHeight="1">
      <c r="D394" s="38"/>
      <c r="E394" s="38"/>
      <c r="F394" s="38"/>
      <c r="G394" s="38"/>
      <c r="H394" s="38"/>
      <c r="I394" s="38"/>
      <c r="J394" s="38"/>
      <c r="K394" s="38"/>
      <c r="L394" s="55"/>
      <c r="M394" s="38"/>
      <c r="N394" s="38"/>
      <c r="O394" s="38"/>
      <c r="P394" s="38"/>
    </row>
    <row r="395" ht="15.75" customHeight="1">
      <c r="D395" s="38"/>
      <c r="E395" s="38"/>
      <c r="F395" s="38"/>
      <c r="G395" s="38"/>
      <c r="H395" s="38"/>
      <c r="I395" s="38"/>
      <c r="J395" s="38"/>
      <c r="K395" s="38"/>
      <c r="L395" s="55"/>
      <c r="M395" s="38"/>
      <c r="N395" s="38"/>
      <c r="O395" s="38"/>
      <c r="P395" s="38"/>
    </row>
    <row r="396" ht="15.75" customHeight="1">
      <c r="D396" s="38"/>
      <c r="E396" s="38"/>
      <c r="F396" s="38"/>
      <c r="G396" s="38"/>
      <c r="H396" s="38"/>
      <c r="I396" s="38"/>
      <c r="J396" s="38"/>
      <c r="K396" s="38"/>
      <c r="L396" s="55"/>
      <c r="M396" s="38"/>
      <c r="N396" s="38"/>
      <c r="O396" s="38"/>
      <c r="P396" s="38"/>
    </row>
    <row r="397" ht="15.75" customHeight="1">
      <c r="D397" s="38"/>
      <c r="E397" s="38"/>
      <c r="F397" s="38"/>
      <c r="G397" s="38"/>
      <c r="H397" s="38"/>
      <c r="I397" s="38"/>
      <c r="J397" s="38"/>
      <c r="K397" s="38"/>
      <c r="L397" s="55"/>
      <c r="M397" s="38"/>
      <c r="N397" s="38"/>
      <c r="O397" s="38"/>
      <c r="P397" s="38"/>
    </row>
    <row r="398" ht="15.75" customHeight="1">
      <c r="D398" s="38"/>
      <c r="E398" s="38"/>
      <c r="F398" s="38"/>
      <c r="G398" s="38"/>
      <c r="H398" s="38"/>
      <c r="I398" s="38"/>
      <c r="J398" s="38"/>
      <c r="K398" s="38"/>
      <c r="L398" s="55"/>
      <c r="M398" s="38"/>
      <c r="N398" s="38"/>
      <c r="O398" s="38"/>
      <c r="P398" s="38"/>
    </row>
    <row r="399" ht="15.75" customHeight="1">
      <c r="D399" s="38"/>
      <c r="E399" s="38"/>
      <c r="F399" s="38"/>
      <c r="G399" s="38"/>
      <c r="H399" s="38"/>
      <c r="I399" s="38"/>
      <c r="J399" s="38"/>
      <c r="K399" s="38"/>
      <c r="L399" s="55"/>
      <c r="M399" s="38"/>
      <c r="N399" s="38"/>
      <c r="O399" s="38"/>
      <c r="P399" s="38"/>
    </row>
    <row r="400" ht="15.75" customHeight="1">
      <c r="D400" s="38"/>
      <c r="E400" s="38"/>
      <c r="F400" s="38"/>
      <c r="G400" s="38"/>
      <c r="H400" s="38"/>
      <c r="I400" s="38"/>
      <c r="J400" s="38"/>
      <c r="K400" s="38"/>
      <c r="L400" s="55"/>
      <c r="M400" s="38"/>
      <c r="N400" s="38"/>
      <c r="O400" s="38"/>
      <c r="P400" s="38"/>
    </row>
    <row r="401" ht="15.75" customHeight="1">
      <c r="D401" s="38"/>
      <c r="E401" s="38"/>
      <c r="F401" s="38"/>
      <c r="G401" s="38"/>
      <c r="H401" s="38"/>
      <c r="I401" s="38"/>
      <c r="J401" s="38"/>
      <c r="K401" s="38"/>
      <c r="L401" s="55"/>
      <c r="M401" s="38"/>
      <c r="N401" s="38"/>
      <c r="O401" s="38"/>
      <c r="P401" s="38"/>
    </row>
    <row r="402" ht="15.75" customHeight="1">
      <c r="D402" s="38"/>
      <c r="E402" s="38"/>
      <c r="F402" s="38"/>
      <c r="G402" s="38"/>
      <c r="H402" s="38"/>
      <c r="I402" s="38"/>
      <c r="J402" s="38"/>
      <c r="K402" s="38"/>
      <c r="L402" s="55"/>
      <c r="M402" s="38"/>
      <c r="N402" s="38"/>
      <c r="O402" s="38"/>
      <c r="P402" s="38"/>
    </row>
    <row r="403" ht="15.75" customHeight="1">
      <c r="D403" s="38"/>
      <c r="E403" s="38"/>
      <c r="F403" s="38"/>
      <c r="G403" s="38"/>
      <c r="H403" s="38"/>
      <c r="I403" s="38"/>
      <c r="J403" s="38"/>
      <c r="K403" s="38"/>
      <c r="L403" s="55"/>
      <c r="M403" s="38"/>
      <c r="N403" s="38"/>
      <c r="O403" s="38"/>
      <c r="P403" s="38"/>
    </row>
    <row r="404" ht="15.75" customHeight="1">
      <c r="D404" s="38"/>
      <c r="E404" s="38"/>
      <c r="F404" s="38"/>
      <c r="G404" s="38"/>
      <c r="H404" s="38"/>
      <c r="I404" s="38"/>
      <c r="J404" s="38"/>
      <c r="K404" s="38"/>
      <c r="L404" s="55"/>
      <c r="M404" s="38"/>
      <c r="N404" s="38"/>
      <c r="O404" s="38"/>
      <c r="P404" s="38"/>
    </row>
    <row r="405" ht="15.75" customHeight="1">
      <c r="D405" s="38"/>
      <c r="E405" s="38"/>
      <c r="F405" s="38"/>
      <c r="G405" s="38"/>
      <c r="H405" s="38"/>
      <c r="I405" s="38"/>
      <c r="J405" s="38"/>
      <c r="K405" s="38"/>
      <c r="L405" s="55"/>
      <c r="M405" s="38"/>
      <c r="N405" s="38"/>
      <c r="O405" s="38"/>
      <c r="P405" s="38"/>
    </row>
    <row r="406" ht="15.75" customHeight="1">
      <c r="D406" s="38"/>
      <c r="E406" s="38"/>
      <c r="F406" s="38"/>
      <c r="G406" s="38"/>
      <c r="H406" s="38"/>
      <c r="I406" s="38"/>
      <c r="J406" s="38"/>
      <c r="K406" s="38"/>
      <c r="L406" s="55"/>
      <c r="M406" s="38"/>
      <c r="N406" s="38"/>
      <c r="O406" s="38"/>
      <c r="P406" s="38"/>
    </row>
    <row r="407" ht="15.75" customHeight="1">
      <c r="D407" s="38"/>
      <c r="E407" s="38"/>
      <c r="F407" s="38"/>
      <c r="G407" s="38"/>
      <c r="H407" s="38"/>
      <c r="I407" s="38"/>
      <c r="J407" s="38"/>
      <c r="K407" s="38"/>
      <c r="L407" s="55"/>
      <c r="M407" s="38"/>
      <c r="N407" s="38"/>
      <c r="O407" s="38"/>
      <c r="P407" s="38"/>
    </row>
    <row r="408" ht="15.75" customHeight="1">
      <c r="D408" s="38"/>
      <c r="E408" s="38"/>
      <c r="F408" s="38"/>
      <c r="G408" s="38"/>
      <c r="H408" s="38"/>
      <c r="I408" s="38"/>
      <c r="J408" s="38"/>
      <c r="K408" s="38"/>
      <c r="L408" s="55"/>
      <c r="M408" s="38"/>
      <c r="N408" s="38"/>
      <c r="O408" s="38"/>
      <c r="P408" s="38"/>
    </row>
    <row r="409" ht="15.75" customHeight="1">
      <c r="D409" s="38"/>
      <c r="E409" s="38"/>
      <c r="F409" s="38"/>
      <c r="G409" s="38"/>
      <c r="H409" s="38"/>
      <c r="I409" s="38"/>
      <c r="J409" s="38"/>
      <c r="K409" s="38"/>
      <c r="L409" s="55"/>
      <c r="M409" s="38"/>
      <c r="N409" s="38"/>
      <c r="O409" s="38"/>
      <c r="P409" s="38"/>
    </row>
    <row r="410" ht="15.75" customHeight="1">
      <c r="D410" s="38"/>
      <c r="E410" s="38"/>
      <c r="F410" s="38"/>
      <c r="G410" s="38"/>
      <c r="H410" s="38"/>
      <c r="I410" s="38"/>
      <c r="J410" s="38"/>
      <c r="K410" s="38"/>
      <c r="L410" s="55"/>
      <c r="M410" s="38"/>
      <c r="N410" s="38"/>
      <c r="O410" s="38"/>
      <c r="P410" s="38"/>
    </row>
    <row r="411" ht="15.75" customHeight="1">
      <c r="D411" s="38"/>
      <c r="E411" s="38"/>
      <c r="F411" s="38"/>
      <c r="G411" s="38"/>
      <c r="H411" s="38"/>
      <c r="I411" s="38"/>
      <c r="J411" s="38"/>
      <c r="K411" s="38"/>
      <c r="L411" s="55"/>
      <c r="M411" s="38"/>
      <c r="N411" s="38"/>
      <c r="O411" s="38"/>
      <c r="P411" s="38"/>
    </row>
    <row r="412" ht="15.75" customHeight="1">
      <c r="D412" s="38"/>
      <c r="E412" s="38"/>
      <c r="F412" s="38"/>
      <c r="G412" s="38"/>
      <c r="H412" s="38"/>
      <c r="I412" s="38"/>
      <c r="J412" s="38"/>
      <c r="K412" s="38"/>
      <c r="L412" s="55"/>
      <c r="M412" s="38"/>
      <c r="N412" s="38"/>
      <c r="O412" s="38"/>
      <c r="P412" s="38"/>
    </row>
    <row r="413" ht="15.75" customHeight="1">
      <c r="D413" s="38"/>
      <c r="E413" s="38"/>
      <c r="F413" s="38"/>
      <c r="G413" s="38"/>
      <c r="H413" s="38"/>
      <c r="I413" s="38"/>
      <c r="J413" s="38"/>
      <c r="K413" s="38"/>
      <c r="L413" s="55"/>
      <c r="M413" s="38"/>
      <c r="N413" s="38"/>
      <c r="O413" s="38"/>
      <c r="P413" s="38"/>
    </row>
    <row r="414" ht="15.75" customHeight="1">
      <c r="D414" s="38"/>
      <c r="E414" s="38"/>
      <c r="F414" s="38"/>
      <c r="G414" s="38"/>
      <c r="H414" s="38"/>
      <c r="I414" s="38"/>
      <c r="J414" s="38"/>
      <c r="K414" s="38"/>
      <c r="L414" s="55"/>
      <c r="M414" s="38"/>
      <c r="N414" s="38"/>
      <c r="O414" s="38"/>
      <c r="P414" s="38"/>
    </row>
    <row r="415" ht="15.75" customHeight="1">
      <c r="D415" s="38"/>
      <c r="E415" s="38"/>
      <c r="F415" s="38"/>
      <c r="G415" s="38"/>
      <c r="H415" s="38"/>
      <c r="I415" s="38"/>
      <c r="J415" s="38"/>
      <c r="K415" s="38"/>
      <c r="L415" s="55"/>
      <c r="M415" s="38"/>
      <c r="N415" s="38"/>
      <c r="O415" s="38"/>
      <c r="P415" s="38"/>
    </row>
    <row r="416" ht="15.75" customHeight="1">
      <c r="D416" s="38"/>
      <c r="E416" s="38"/>
      <c r="F416" s="38"/>
      <c r="G416" s="38"/>
      <c r="H416" s="38"/>
      <c r="I416" s="38"/>
      <c r="J416" s="38"/>
      <c r="K416" s="38"/>
      <c r="L416" s="55"/>
      <c r="M416" s="38"/>
      <c r="N416" s="38"/>
      <c r="O416" s="38"/>
      <c r="P416" s="38"/>
    </row>
    <row r="417" ht="15.75" customHeight="1">
      <c r="D417" s="38"/>
      <c r="E417" s="38"/>
      <c r="F417" s="38"/>
      <c r="G417" s="38"/>
      <c r="H417" s="38"/>
      <c r="I417" s="38"/>
      <c r="J417" s="38"/>
      <c r="K417" s="38"/>
      <c r="L417" s="55"/>
      <c r="M417" s="38"/>
      <c r="N417" s="38"/>
      <c r="O417" s="38"/>
      <c r="P417" s="38"/>
    </row>
    <row r="418" ht="15.75" customHeight="1">
      <c r="D418" s="38"/>
      <c r="E418" s="38"/>
      <c r="F418" s="38"/>
      <c r="G418" s="38"/>
      <c r="H418" s="38"/>
      <c r="I418" s="38"/>
      <c r="J418" s="38"/>
      <c r="K418" s="38"/>
      <c r="L418" s="55"/>
      <c r="M418" s="38"/>
      <c r="N418" s="38"/>
      <c r="O418" s="38"/>
      <c r="P418" s="38"/>
    </row>
    <row r="419" ht="15.75" customHeight="1">
      <c r="D419" s="38"/>
      <c r="E419" s="38"/>
      <c r="F419" s="38"/>
      <c r="G419" s="38"/>
      <c r="H419" s="38"/>
      <c r="I419" s="38"/>
      <c r="J419" s="38"/>
      <c r="K419" s="38"/>
      <c r="L419" s="55"/>
      <c r="M419" s="38"/>
      <c r="N419" s="38"/>
      <c r="O419" s="38"/>
      <c r="P419" s="38"/>
    </row>
    <row r="420" ht="15.75" customHeight="1">
      <c r="D420" s="38"/>
      <c r="E420" s="38"/>
      <c r="F420" s="38"/>
      <c r="G420" s="38"/>
      <c r="H420" s="38"/>
      <c r="I420" s="38"/>
      <c r="J420" s="38"/>
      <c r="K420" s="38"/>
      <c r="L420" s="55"/>
      <c r="M420" s="38"/>
      <c r="N420" s="38"/>
      <c r="O420" s="38"/>
      <c r="P420" s="38"/>
    </row>
    <row r="421" ht="15.75" customHeight="1">
      <c r="D421" s="38"/>
      <c r="E421" s="38"/>
      <c r="F421" s="38"/>
      <c r="G421" s="38"/>
      <c r="H421" s="38"/>
      <c r="I421" s="38"/>
      <c r="J421" s="38"/>
      <c r="K421" s="38"/>
      <c r="L421" s="55"/>
      <c r="M421" s="38"/>
      <c r="N421" s="38"/>
      <c r="O421" s="38"/>
      <c r="P421" s="38"/>
    </row>
    <row r="422" ht="15.75" customHeight="1">
      <c r="D422" s="38"/>
      <c r="E422" s="38"/>
      <c r="F422" s="38"/>
      <c r="G422" s="38"/>
      <c r="H422" s="38"/>
      <c r="I422" s="38"/>
      <c r="J422" s="38"/>
      <c r="K422" s="38"/>
      <c r="L422" s="55"/>
      <c r="M422" s="38"/>
      <c r="N422" s="38"/>
      <c r="O422" s="38"/>
      <c r="P422" s="38"/>
    </row>
    <row r="423" ht="15.75" customHeight="1">
      <c r="D423" s="38"/>
      <c r="E423" s="38"/>
      <c r="F423" s="38"/>
      <c r="G423" s="38"/>
      <c r="H423" s="38"/>
      <c r="I423" s="38"/>
      <c r="J423" s="38"/>
      <c r="K423" s="38"/>
      <c r="L423" s="55"/>
      <c r="M423" s="38"/>
      <c r="N423" s="38"/>
      <c r="O423" s="38"/>
      <c r="P423" s="38"/>
    </row>
    <row r="424" ht="15.75" customHeight="1">
      <c r="D424" s="38"/>
      <c r="E424" s="38"/>
      <c r="F424" s="38"/>
      <c r="G424" s="38"/>
      <c r="H424" s="38"/>
      <c r="I424" s="38"/>
      <c r="J424" s="38"/>
      <c r="K424" s="38"/>
      <c r="L424" s="55"/>
      <c r="M424" s="38"/>
      <c r="N424" s="38"/>
      <c r="O424" s="38"/>
      <c r="P424" s="38"/>
    </row>
    <row r="425" ht="15.75" customHeight="1">
      <c r="D425" s="38"/>
      <c r="E425" s="38"/>
      <c r="F425" s="38"/>
      <c r="G425" s="38"/>
      <c r="H425" s="38"/>
      <c r="I425" s="38"/>
      <c r="J425" s="38"/>
      <c r="K425" s="38"/>
      <c r="L425" s="55"/>
      <c r="M425" s="38"/>
      <c r="N425" s="38"/>
      <c r="O425" s="38"/>
      <c r="P425" s="38"/>
    </row>
    <row r="426" ht="15.75" customHeight="1">
      <c r="D426" s="38"/>
      <c r="E426" s="38"/>
      <c r="F426" s="38"/>
      <c r="G426" s="38"/>
      <c r="H426" s="38"/>
      <c r="I426" s="38"/>
      <c r="J426" s="38"/>
      <c r="K426" s="38"/>
      <c r="L426" s="55"/>
      <c r="M426" s="38"/>
      <c r="N426" s="38"/>
      <c r="O426" s="38"/>
      <c r="P426" s="38"/>
    </row>
    <row r="427" ht="15.75" customHeight="1">
      <c r="D427" s="38"/>
      <c r="E427" s="38"/>
      <c r="F427" s="38"/>
      <c r="G427" s="38"/>
      <c r="H427" s="38"/>
      <c r="I427" s="38"/>
      <c r="J427" s="38"/>
      <c r="K427" s="38"/>
      <c r="L427" s="55"/>
      <c r="M427" s="38"/>
      <c r="N427" s="38"/>
      <c r="O427" s="38"/>
      <c r="P427" s="38"/>
    </row>
    <row r="428" ht="15.75" customHeight="1">
      <c r="D428" s="38"/>
      <c r="E428" s="38"/>
      <c r="F428" s="38"/>
      <c r="G428" s="38"/>
      <c r="H428" s="38"/>
      <c r="I428" s="38"/>
      <c r="J428" s="38"/>
      <c r="K428" s="38"/>
      <c r="L428" s="55"/>
      <c r="M428" s="38"/>
      <c r="N428" s="38"/>
      <c r="O428" s="38"/>
      <c r="P428" s="38"/>
    </row>
    <row r="429" ht="15.75" customHeight="1">
      <c r="D429" s="38"/>
      <c r="E429" s="38"/>
      <c r="F429" s="38"/>
      <c r="G429" s="38"/>
      <c r="H429" s="38"/>
      <c r="I429" s="38"/>
      <c r="J429" s="38"/>
      <c r="K429" s="38"/>
      <c r="L429" s="55"/>
      <c r="M429" s="38"/>
      <c r="N429" s="38"/>
      <c r="O429" s="38"/>
      <c r="P429" s="38"/>
    </row>
    <row r="430" ht="15.75" customHeight="1">
      <c r="D430" s="38"/>
      <c r="E430" s="38"/>
      <c r="F430" s="38"/>
      <c r="G430" s="38"/>
      <c r="H430" s="38"/>
      <c r="I430" s="38"/>
      <c r="J430" s="38"/>
      <c r="K430" s="38"/>
      <c r="L430" s="55"/>
      <c r="M430" s="38"/>
      <c r="N430" s="38"/>
      <c r="O430" s="38"/>
      <c r="P430" s="38"/>
    </row>
    <row r="431" ht="15.75" customHeight="1">
      <c r="D431" s="38"/>
      <c r="E431" s="38"/>
      <c r="F431" s="38"/>
      <c r="G431" s="38"/>
      <c r="H431" s="38"/>
      <c r="I431" s="38"/>
      <c r="J431" s="38"/>
      <c r="K431" s="38"/>
      <c r="L431" s="55"/>
      <c r="M431" s="38"/>
      <c r="N431" s="38"/>
      <c r="O431" s="38"/>
      <c r="P431" s="38"/>
    </row>
    <row r="432" ht="15.75" customHeight="1">
      <c r="D432" s="38"/>
      <c r="E432" s="38"/>
      <c r="F432" s="38"/>
      <c r="G432" s="38"/>
      <c r="H432" s="38"/>
      <c r="I432" s="38"/>
      <c r="J432" s="38"/>
      <c r="K432" s="38"/>
      <c r="L432" s="55"/>
      <c r="M432" s="38"/>
      <c r="N432" s="38"/>
      <c r="O432" s="38"/>
      <c r="P432" s="38"/>
    </row>
    <row r="433" ht="15.75" customHeight="1">
      <c r="D433" s="38"/>
      <c r="E433" s="38"/>
      <c r="F433" s="38"/>
      <c r="G433" s="38"/>
      <c r="H433" s="38"/>
      <c r="I433" s="38"/>
      <c r="J433" s="38"/>
      <c r="K433" s="38"/>
      <c r="L433" s="55"/>
      <c r="M433" s="38"/>
      <c r="N433" s="38"/>
      <c r="O433" s="38"/>
      <c r="P433" s="38"/>
    </row>
    <row r="434" ht="15.75" customHeight="1">
      <c r="D434" s="38"/>
      <c r="E434" s="38"/>
      <c r="F434" s="38"/>
      <c r="G434" s="38"/>
      <c r="H434" s="38"/>
      <c r="I434" s="38"/>
      <c r="J434" s="38"/>
      <c r="K434" s="38"/>
      <c r="L434" s="55"/>
      <c r="M434" s="38"/>
      <c r="N434" s="38"/>
      <c r="O434" s="38"/>
      <c r="P434" s="38"/>
    </row>
    <row r="435" ht="15.75" customHeight="1">
      <c r="D435" s="38"/>
      <c r="E435" s="38"/>
      <c r="F435" s="38"/>
      <c r="G435" s="38"/>
      <c r="H435" s="38"/>
      <c r="I435" s="38"/>
      <c r="J435" s="38"/>
      <c r="K435" s="38"/>
      <c r="L435" s="55"/>
      <c r="M435" s="38"/>
      <c r="N435" s="38"/>
      <c r="O435" s="38"/>
      <c r="P435" s="38"/>
    </row>
    <row r="436" ht="15.75" customHeight="1">
      <c r="D436" s="38"/>
      <c r="E436" s="38"/>
      <c r="F436" s="38"/>
      <c r="G436" s="38"/>
      <c r="H436" s="38"/>
      <c r="I436" s="38"/>
      <c r="J436" s="38"/>
      <c r="K436" s="38"/>
      <c r="L436" s="55"/>
      <c r="M436" s="38"/>
      <c r="N436" s="38"/>
      <c r="O436" s="38"/>
      <c r="P436" s="38"/>
    </row>
    <row r="437" ht="15.75" customHeight="1">
      <c r="D437" s="38"/>
      <c r="E437" s="38"/>
      <c r="F437" s="38"/>
      <c r="G437" s="38"/>
      <c r="H437" s="38"/>
      <c r="I437" s="38"/>
      <c r="J437" s="38"/>
      <c r="K437" s="38"/>
      <c r="L437" s="55"/>
      <c r="M437" s="38"/>
      <c r="N437" s="38"/>
      <c r="O437" s="38"/>
      <c r="P437" s="38"/>
    </row>
    <row r="438" ht="15.75" customHeight="1">
      <c r="D438" s="38"/>
      <c r="E438" s="38"/>
      <c r="F438" s="38"/>
      <c r="G438" s="38"/>
      <c r="H438" s="38"/>
      <c r="I438" s="38"/>
      <c r="J438" s="38"/>
      <c r="K438" s="38"/>
      <c r="L438" s="55"/>
      <c r="M438" s="38"/>
      <c r="N438" s="38"/>
      <c r="O438" s="38"/>
      <c r="P438" s="38"/>
    </row>
    <row r="439" ht="15.75" customHeight="1">
      <c r="D439" s="38"/>
      <c r="E439" s="38"/>
      <c r="F439" s="38"/>
      <c r="G439" s="38"/>
      <c r="H439" s="38"/>
      <c r="I439" s="38"/>
      <c r="J439" s="38"/>
      <c r="K439" s="38"/>
      <c r="L439" s="55"/>
      <c r="M439" s="38"/>
      <c r="N439" s="38"/>
      <c r="O439" s="38"/>
      <c r="P439" s="38"/>
    </row>
    <row r="440" ht="15.75" customHeight="1">
      <c r="D440" s="38"/>
      <c r="E440" s="38"/>
      <c r="F440" s="38"/>
      <c r="G440" s="38"/>
      <c r="H440" s="38"/>
      <c r="I440" s="38"/>
      <c r="J440" s="38"/>
      <c r="K440" s="38"/>
      <c r="L440" s="55"/>
      <c r="M440" s="38"/>
      <c r="N440" s="38"/>
      <c r="O440" s="38"/>
      <c r="P440" s="38"/>
    </row>
    <row r="441" ht="15.75" customHeight="1">
      <c r="D441" s="38"/>
      <c r="E441" s="38"/>
      <c r="F441" s="38"/>
      <c r="G441" s="38"/>
      <c r="H441" s="38"/>
      <c r="I441" s="38"/>
      <c r="J441" s="38"/>
      <c r="K441" s="38"/>
      <c r="L441" s="55"/>
      <c r="M441" s="38"/>
      <c r="N441" s="38"/>
      <c r="O441" s="38"/>
      <c r="P441" s="38"/>
    </row>
    <row r="442" ht="15.75" customHeight="1">
      <c r="D442" s="38"/>
      <c r="E442" s="38"/>
      <c r="F442" s="38"/>
      <c r="G442" s="38"/>
      <c r="H442" s="38"/>
      <c r="I442" s="38"/>
      <c r="J442" s="38"/>
      <c r="K442" s="38"/>
      <c r="L442" s="55"/>
      <c r="M442" s="38"/>
      <c r="N442" s="38"/>
      <c r="O442" s="38"/>
      <c r="P442" s="38"/>
    </row>
    <row r="443" ht="15.75" customHeight="1">
      <c r="D443" s="38"/>
      <c r="E443" s="38"/>
      <c r="F443" s="38"/>
      <c r="G443" s="38"/>
      <c r="H443" s="38"/>
      <c r="I443" s="38"/>
      <c r="J443" s="38"/>
      <c r="K443" s="38"/>
      <c r="L443" s="55"/>
      <c r="M443" s="38"/>
      <c r="N443" s="38"/>
      <c r="O443" s="38"/>
      <c r="P443" s="38"/>
    </row>
    <row r="444" ht="15.75" customHeight="1">
      <c r="D444" s="38"/>
      <c r="E444" s="38"/>
      <c r="F444" s="38"/>
      <c r="G444" s="38"/>
      <c r="H444" s="38"/>
      <c r="I444" s="38"/>
      <c r="J444" s="38"/>
      <c r="K444" s="38"/>
      <c r="L444" s="55"/>
      <c r="M444" s="38"/>
      <c r="N444" s="38"/>
      <c r="O444" s="38"/>
      <c r="P444" s="38"/>
    </row>
    <row r="445" ht="15.75" customHeight="1">
      <c r="D445" s="38"/>
      <c r="E445" s="38"/>
      <c r="F445" s="38"/>
      <c r="G445" s="38"/>
      <c r="H445" s="38"/>
      <c r="I445" s="38"/>
      <c r="J445" s="38"/>
      <c r="K445" s="38"/>
      <c r="L445" s="55"/>
      <c r="M445" s="38"/>
      <c r="N445" s="38"/>
      <c r="O445" s="38"/>
      <c r="P445" s="38"/>
    </row>
    <row r="446" ht="15.75" customHeight="1">
      <c r="D446" s="38"/>
      <c r="E446" s="38"/>
      <c r="F446" s="38"/>
      <c r="G446" s="38"/>
      <c r="H446" s="38"/>
      <c r="I446" s="38"/>
      <c r="J446" s="38"/>
      <c r="K446" s="38"/>
      <c r="L446" s="55"/>
      <c r="M446" s="38"/>
      <c r="N446" s="38"/>
      <c r="O446" s="38"/>
      <c r="P446" s="38"/>
    </row>
    <row r="447" ht="15.75" customHeight="1">
      <c r="D447" s="38"/>
      <c r="E447" s="38"/>
      <c r="F447" s="38"/>
      <c r="G447" s="38"/>
      <c r="H447" s="38"/>
      <c r="I447" s="38"/>
      <c r="J447" s="38"/>
      <c r="K447" s="38"/>
      <c r="L447" s="55"/>
      <c r="M447" s="38"/>
      <c r="N447" s="38"/>
      <c r="O447" s="38"/>
      <c r="P447" s="38"/>
    </row>
    <row r="448" ht="15.75" customHeight="1">
      <c r="D448" s="38"/>
      <c r="E448" s="38"/>
      <c r="F448" s="38"/>
      <c r="G448" s="38"/>
      <c r="H448" s="38"/>
      <c r="I448" s="38"/>
      <c r="J448" s="38"/>
      <c r="K448" s="38"/>
      <c r="L448" s="55"/>
      <c r="M448" s="38"/>
      <c r="N448" s="38"/>
      <c r="O448" s="38"/>
      <c r="P448" s="38"/>
    </row>
    <row r="449" ht="15.75" customHeight="1">
      <c r="D449" s="38"/>
      <c r="E449" s="38"/>
      <c r="F449" s="38"/>
      <c r="G449" s="38"/>
      <c r="H449" s="38"/>
      <c r="I449" s="38"/>
      <c r="J449" s="38"/>
      <c r="K449" s="38"/>
      <c r="L449" s="55"/>
      <c r="M449" s="38"/>
      <c r="N449" s="38"/>
      <c r="O449" s="38"/>
      <c r="P449" s="38"/>
    </row>
    <row r="450" ht="15.75" customHeight="1">
      <c r="D450" s="38"/>
      <c r="E450" s="38"/>
      <c r="F450" s="38"/>
      <c r="G450" s="38"/>
      <c r="H450" s="38"/>
      <c r="I450" s="38"/>
      <c r="J450" s="38"/>
      <c r="K450" s="38"/>
      <c r="L450" s="55"/>
      <c r="M450" s="38"/>
      <c r="N450" s="38"/>
      <c r="O450" s="38"/>
      <c r="P450" s="38"/>
    </row>
    <row r="451" ht="15.75" customHeight="1">
      <c r="D451" s="38"/>
      <c r="E451" s="38"/>
      <c r="F451" s="38"/>
      <c r="G451" s="38"/>
      <c r="H451" s="38"/>
      <c r="I451" s="38"/>
      <c r="J451" s="38"/>
      <c r="K451" s="38"/>
      <c r="L451" s="55"/>
      <c r="M451" s="38"/>
      <c r="N451" s="38"/>
      <c r="O451" s="38"/>
      <c r="P451" s="38"/>
    </row>
    <row r="452" ht="15.75" customHeight="1">
      <c r="D452" s="38"/>
      <c r="E452" s="38"/>
      <c r="F452" s="38"/>
      <c r="G452" s="38"/>
      <c r="H452" s="38"/>
      <c r="I452" s="38"/>
      <c r="J452" s="38"/>
      <c r="K452" s="38"/>
      <c r="L452" s="55"/>
      <c r="M452" s="38"/>
      <c r="N452" s="38"/>
      <c r="O452" s="38"/>
      <c r="P452" s="38"/>
    </row>
    <row r="453" ht="15.75" customHeight="1">
      <c r="D453" s="38"/>
      <c r="E453" s="38"/>
      <c r="F453" s="38"/>
      <c r="G453" s="38"/>
      <c r="H453" s="38"/>
      <c r="I453" s="38"/>
      <c r="J453" s="38"/>
      <c r="K453" s="38"/>
      <c r="L453" s="55"/>
      <c r="M453" s="38"/>
      <c r="N453" s="38"/>
      <c r="O453" s="38"/>
      <c r="P453" s="38"/>
    </row>
    <row r="454" ht="15.75" customHeight="1">
      <c r="D454" s="38"/>
      <c r="E454" s="38"/>
      <c r="F454" s="38"/>
      <c r="G454" s="38"/>
      <c r="H454" s="38"/>
      <c r="I454" s="38"/>
      <c r="J454" s="38"/>
      <c r="K454" s="38"/>
      <c r="L454" s="55"/>
      <c r="M454" s="38"/>
      <c r="N454" s="38"/>
      <c r="O454" s="38"/>
      <c r="P454" s="38"/>
    </row>
    <row r="455" ht="15.75" customHeight="1">
      <c r="D455" s="38"/>
      <c r="E455" s="38"/>
      <c r="F455" s="38"/>
      <c r="G455" s="38"/>
      <c r="H455" s="38"/>
      <c r="I455" s="38"/>
      <c r="J455" s="38"/>
      <c r="K455" s="38"/>
      <c r="L455" s="55"/>
      <c r="M455" s="38"/>
      <c r="N455" s="38"/>
      <c r="O455" s="38"/>
      <c r="P455" s="38"/>
    </row>
    <row r="456" ht="15.75" customHeight="1">
      <c r="D456" s="38"/>
      <c r="E456" s="38"/>
      <c r="F456" s="38"/>
      <c r="G456" s="38"/>
      <c r="H456" s="38"/>
      <c r="I456" s="38"/>
      <c r="J456" s="38"/>
      <c r="K456" s="38"/>
      <c r="L456" s="55"/>
      <c r="M456" s="38"/>
      <c r="N456" s="38"/>
      <c r="O456" s="38"/>
      <c r="P456" s="38"/>
    </row>
    <row r="457" ht="15.75" customHeight="1">
      <c r="D457" s="38"/>
      <c r="E457" s="38"/>
      <c r="F457" s="38"/>
      <c r="G457" s="38"/>
      <c r="H457" s="38"/>
      <c r="I457" s="38"/>
      <c r="J457" s="38"/>
      <c r="K457" s="38"/>
      <c r="L457" s="55"/>
      <c r="M457" s="38"/>
      <c r="N457" s="38"/>
      <c r="O457" s="38"/>
      <c r="P457" s="38"/>
    </row>
    <row r="458" ht="15.75" customHeight="1">
      <c r="D458" s="38"/>
      <c r="E458" s="38"/>
      <c r="F458" s="38"/>
      <c r="G458" s="38"/>
      <c r="H458" s="38"/>
      <c r="I458" s="38"/>
      <c r="J458" s="38"/>
      <c r="K458" s="38"/>
      <c r="L458" s="55"/>
      <c r="M458" s="38"/>
      <c r="N458" s="38"/>
      <c r="O458" s="38"/>
      <c r="P458" s="38"/>
    </row>
    <row r="459" ht="15.75" customHeight="1">
      <c r="D459" s="38"/>
      <c r="E459" s="38"/>
      <c r="F459" s="38"/>
      <c r="G459" s="38"/>
      <c r="H459" s="38"/>
      <c r="I459" s="38"/>
      <c r="J459" s="38"/>
      <c r="K459" s="38"/>
      <c r="L459" s="55"/>
      <c r="M459" s="38"/>
      <c r="N459" s="38"/>
      <c r="O459" s="38"/>
      <c r="P459" s="38"/>
    </row>
    <row r="460" ht="15.75" customHeight="1">
      <c r="D460" s="38"/>
      <c r="E460" s="38"/>
      <c r="F460" s="38"/>
      <c r="G460" s="38"/>
      <c r="H460" s="38"/>
      <c r="I460" s="38"/>
      <c r="J460" s="38"/>
      <c r="K460" s="38"/>
      <c r="L460" s="55"/>
      <c r="M460" s="38"/>
      <c r="N460" s="38"/>
      <c r="O460" s="38"/>
      <c r="P460" s="38"/>
    </row>
    <row r="461" ht="15.75" customHeight="1">
      <c r="D461" s="38"/>
      <c r="E461" s="38"/>
      <c r="F461" s="38"/>
      <c r="G461" s="38"/>
      <c r="H461" s="38"/>
      <c r="I461" s="38"/>
      <c r="J461" s="38"/>
      <c r="K461" s="38"/>
      <c r="L461" s="55"/>
      <c r="M461" s="38"/>
      <c r="N461" s="38"/>
      <c r="O461" s="38"/>
      <c r="P461" s="38"/>
    </row>
    <row r="462" ht="15.75" customHeight="1">
      <c r="D462" s="38"/>
      <c r="E462" s="38"/>
      <c r="F462" s="38"/>
      <c r="G462" s="38"/>
      <c r="H462" s="38"/>
      <c r="I462" s="38"/>
      <c r="J462" s="38"/>
      <c r="K462" s="38"/>
      <c r="L462" s="55"/>
      <c r="M462" s="38"/>
      <c r="N462" s="38"/>
      <c r="O462" s="38"/>
      <c r="P462" s="38"/>
    </row>
    <row r="463" ht="15.75" customHeight="1">
      <c r="D463" s="38"/>
      <c r="E463" s="38"/>
      <c r="F463" s="38"/>
      <c r="G463" s="38"/>
      <c r="H463" s="38"/>
      <c r="I463" s="38"/>
      <c r="J463" s="38"/>
      <c r="K463" s="38"/>
      <c r="L463" s="55"/>
      <c r="M463" s="38"/>
      <c r="N463" s="38"/>
      <c r="O463" s="38"/>
      <c r="P463" s="38"/>
    </row>
    <row r="464" ht="15.75" customHeight="1">
      <c r="D464" s="38"/>
      <c r="E464" s="38"/>
      <c r="F464" s="38"/>
      <c r="G464" s="38"/>
      <c r="H464" s="38"/>
      <c r="I464" s="38"/>
      <c r="J464" s="38"/>
      <c r="K464" s="38"/>
      <c r="L464" s="55"/>
      <c r="M464" s="38"/>
      <c r="N464" s="38"/>
      <c r="O464" s="38"/>
      <c r="P464" s="38"/>
    </row>
    <row r="465" ht="15.75" customHeight="1">
      <c r="D465" s="38"/>
      <c r="E465" s="38"/>
      <c r="F465" s="38"/>
      <c r="G465" s="38"/>
      <c r="H465" s="38"/>
      <c r="I465" s="38"/>
      <c r="J465" s="38"/>
      <c r="K465" s="38"/>
      <c r="L465" s="55"/>
      <c r="M465" s="38"/>
      <c r="N465" s="38"/>
      <c r="O465" s="38"/>
      <c r="P465" s="38"/>
    </row>
    <row r="466" ht="15.75" customHeight="1">
      <c r="D466" s="38"/>
      <c r="E466" s="38"/>
      <c r="F466" s="38"/>
      <c r="G466" s="38"/>
      <c r="H466" s="38"/>
      <c r="I466" s="38"/>
      <c r="J466" s="38"/>
      <c r="K466" s="38"/>
      <c r="L466" s="55"/>
      <c r="M466" s="38"/>
      <c r="N466" s="38"/>
      <c r="O466" s="38"/>
      <c r="P466" s="38"/>
    </row>
    <row r="467" ht="15.75" customHeight="1">
      <c r="D467" s="38"/>
      <c r="E467" s="38"/>
      <c r="F467" s="38"/>
      <c r="G467" s="38"/>
      <c r="H467" s="38"/>
      <c r="I467" s="38"/>
      <c r="J467" s="38"/>
      <c r="K467" s="38"/>
      <c r="L467" s="55"/>
      <c r="M467" s="38"/>
      <c r="N467" s="38"/>
      <c r="O467" s="38"/>
      <c r="P467" s="38"/>
    </row>
    <row r="468" ht="15.75" customHeight="1">
      <c r="D468" s="38"/>
      <c r="E468" s="38"/>
      <c r="F468" s="38"/>
      <c r="G468" s="38"/>
      <c r="H468" s="38"/>
      <c r="I468" s="38"/>
      <c r="J468" s="38"/>
      <c r="K468" s="38"/>
      <c r="L468" s="55"/>
      <c r="M468" s="38"/>
      <c r="N468" s="38"/>
      <c r="O468" s="38"/>
      <c r="P468" s="38"/>
    </row>
    <row r="469" ht="15.75" customHeight="1">
      <c r="D469" s="38"/>
      <c r="E469" s="38"/>
      <c r="F469" s="38"/>
      <c r="G469" s="38"/>
      <c r="H469" s="38"/>
      <c r="I469" s="38"/>
      <c r="J469" s="38"/>
      <c r="K469" s="38"/>
      <c r="L469" s="55"/>
      <c r="M469" s="38"/>
      <c r="N469" s="38"/>
      <c r="O469" s="38"/>
      <c r="P469" s="38"/>
    </row>
    <row r="470" ht="15.75" customHeight="1">
      <c r="D470" s="38"/>
      <c r="E470" s="38"/>
      <c r="F470" s="38"/>
      <c r="G470" s="38"/>
      <c r="H470" s="38"/>
      <c r="I470" s="38"/>
      <c r="J470" s="38"/>
      <c r="K470" s="38"/>
      <c r="L470" s="55"/>
      <c r="M470" s="38"/>
      <c r="N470" s="38"/>
      <c r="O470" s="38"/>
      <c r="P470" s="38"/>
    </row>
    <row r="471" ht="15.75" customHeight="1">
      <c r="D471" s="38"/>
      <c r="E471" s="38"/>
      <c r="F471" s="38"/>
      <c r="G471" s="38"/>
      <c r="H471" s="38"/>
      <c r="I471" s="38"/>
      <c r="J471" s="38"/>
      <c r="K471" s="38"/>
      <c r="L471" s="55"/>
      <c r="M471" s="38"/>
      <c r="N471" s="38"/>
      <c r="O471" s="38"/>
      <c r="P471" s="38"/>
    </row>
    <row r="472" ht="15.75" customHeight="1">
      <c r="D472" s="38"/>
      <c r="E472" s="38"/>
      <c r="F472" s="38"/>
      <c r="G472" s="38"/>
      <c r="H472" s="38"/>
      <c r="I472" s="38"/>
      <c r="J472" s="38"/>
      <c r="K472" s="38"/>
      <c r="L472" s="55"/>
      <c r="M472" s="38"/>
      <c r="N472" s="38"/>
      <c r="O472" s="38"/>
      <c r="P472" s="38"/>
    </row>
    <row r="473" ht="15.75" customHeight="1">
      <c r="D473" s="38"/>
      <c r="E473" s="38"/>
      <c r="F473" s="38"/>
      <c r="G473" s="38"/>
      <c r="H473" s="38"/>
      <c r="I473" s="38"/>
      <c r="J473" s="38"/>
      <c r="K473" s="38"/>
      <c r="L473" s="55"/>
      <c r="M473" s="38"/>
      <c r="N473" s="38"/>
      <c r="O473" s="38"/>
      <c r="P473" s="38"/>
    </row>
    <row r="474" ht="15.75" customHeight="1">
      <c r="D474" s="38"/>
      <c r="E474" s="38"/>
      <c r="F474" s="38"/>
      <c r="G474" s="38"/>
      <c r="H474" s="38"/>
      <c r="I474" s="38"/>
      <c r="J474" s="38"/>
      <c r="K474" s="38"/>
      <c r="L474" s="55"/>
      <c r="M474" s="38"/>
      <c r="N474" s="38"/>
      <c r="O474" s="38"/>
      <c r="P474" s="38"/>
    </row>
    <row r="475" ht="15.75" customHeight="1">
      <c r="D475" s="38"/>
      <c r="E475" s="38"/>
      <c r="F475" s="38"/>
      <c r="G475" s="38"/>
      <c r="H475" s="38"/>
      <c r="I475" s="38"/>
      <c r="J475" s="38"/>
      <c r="K475" s="38"/>
      <c r="L475" s="55"/>
      <c r="M475" s="38"/>
      <c r="N475" s="38"/>
      <c r="O475" s="38"/>
      <c r="P475" s="38"/>
    </row>
    <row r="476" ht="15.75" customHeight="1">
      <c r="D476" s="38"/>
      <c r="E476" s="38"/>
      <c r="F476" s="38"/>
      <c r="G476" s="38"/>
      <c r="H476" s="38"/>
      <c r="I476" s="38"/>
      <c r="J476" s="38"/>
      <c r="K476" s="38"/>
      <c r="L476" s="55"/>
      <c r="M476" s="38"/>
      <c r="N476" s="38"/>
      <c r="O476" s="38"/>
      <c r="P476" s="38"/>
    </row>
    <row r="477" ht="15.75" customHeight="1">
      <c r="D477" s="38"/>
      <c r="E477" s="38"/>
      <c r="F477" s="38"/>
      <c r="G477" s="38"/>
      <c r="H477" s="38"/>
      <c r="I477" s="38"/>
      <c r="J477" s="38"/>
      <c r="K477" s="38"/>
      <c r="L477" s="55"/>
      <c r="M477" s="38"/>
      <c r="N477" s="38"/>
      <c r="O477" s="38"/>
      <c r="P477" s="38"/>
    </row>
    <row r="478" ht="15.75" customHeight="1">
      <c r="D478" s="38"/>
      <c r="E478" s="38"/>
      <c r="F478" s="38"/>
      <c r="G478" s="38"/>
      <c r="H478" s="38"/>
      <c r="I478" s="38"/>
      <c r="J478" s="38"/>
      <c r="K478" s="38"/>
      <c r="L478" s="55"/>
      <c r="M478" s="38"/>
      <c r="N478" s="38"/>
      <c r="O478" s="38"/>
      <c r="P478" s="38"/>
    </row>
    <row r="479" ht="15.75" customHeight="1">
      <c r="D479" s="38"/>
      <c r="E479" s="38"/>
      <c r="F479" s="38"/>
      <c r="G479" s="38"/>
      <c r="H479" s="38"/>
      <c r="I479" s="38"/>
      <c r="J479" s="38"/>
      <c r="K479" s="38"/>
      <c r="L479" s="55"/>
      <c r="M479" s="38"/>
      <c r="N479" s="38"/>
      <c r="O479" s="38"/>
      <c r="P479" s="38"/>
    </row>
    <row r="480" ht="15.75" customHeight="1">
      <c r="D480" s="38"/>
      <c r="E480" s="38"/>
      <c r="F480" s="38"/>
      <c r="G480" s="38"/>
      <c r="H480" s="38"/>
      <c r="I480" s="38"/>
      <c r="J480" s="38"/>
      <c r="K480" s="38"/>
      <c r="L480" s="55"/>
      <c r="M480" s="38"/>
      <c r="N480" s="38"/>
      <c r="O480" s="38"/>
      <c r="P480" s="38"/>
    </row>
    <row r="481" ht="15.75" customHeight="1">
      <c r="D481" s="38"/>
      <c r="E481" s="38"/>
      <c r="F481" s="38"/>
      <c r="G481" s="38"/>
      <c r="H481" s="38"/>
      <c r="I481" s="38"/>
      <c r="J481" s="38"/>
      <c r="K481" s="38"/>
      <c r="L481" s="55"/>
      <c r="M481" s="38"/>
      <c r="N481" s="38"/>
      <c r="O481" s="38"/>
      <c r="P481" s="38"/>
    </row>
    <row r="482" ht="15.75" customHeight="1">
      <c r="D482" s="38"/>
      <c r="E482" s="38"/>
      <c r="F482" s="38"/>
      <c r="G482" s="38"/>
      <c r="H482" s="38"/>
      <c r="I482" s="38"/>
      <c r="J482" s="38"/>
      <c r="K482" s="38"/>
      <c r="L482" s="55"/>
      <c r="M482" s="38"/>
      <c r="N482" s="38"/>
      <c r="O482" s="38"/>
      <c r="P482" s="38"/>
    </row>
    <row r="483" ht="15.75" customHeight="1">
      <c r="D483" s="38"/>
      <c r="E483" s="38"/>
      <c r="F483" s="38"/>
      <c r="G483" s="38"/>
      <c r="H483" s="38"/>
      <c r="I483" s="38"/>
      <c r="J483" s="38"/>
      <c r="K483" s="38"/>
      <c r="L483" s="55"/>
      <c r="M483" s="38"/>
      <c r="N483" s="38"/>
      <c r="O483" s="38"/>
      <c r="P483" s="38"/>
    </row>
    <row r="484" ht="15.75" customHeight="1">
      <c r="D484" s="38"/>
      <c r="E484" s="38"/>
      <c r="F484" s="38"/>
      <c r="G484" s="38"/>
      <c r="H484" s="38"/>
      <c r="I484" s="38"/>
      <c r="J484" s="38"/>
      <c r="K484" s="38"/>
      <c r="L484" s="55"/>
      <c r="M484" s="38"/>
      <c r="N484" s="38"/>
      <c r="O484" s="38"/>
      <c r="P484" s="38"/>
    </row>
    <row r="485" ht="15.75" customHeight="1">
      <c r="D485" s="38"/>
      <c r="E485" s="38"/>
      <c r="F485" s="38"/>
      <c r="G485" s="38"/>
      <c r="H485" s="38"/>
      <c r="I485" s="38"/>
      <c r="J485" s="38"/>
      <c r="K485" s="38"/>
      <c r="L485" s="55"/>
      <c r="M485" s="38"/>
      <c r="N485" s="38"/>
      <c r="O485" s="38"/>
      <c r="P485" s="38"/>
    </row>
    <row r="486" ht="15.75" customHeight="1">
      <c r="D486" s="38"/>
      <c r="E486" s="38"/>
      <c r="F486" s="38"/>
      <c r="G486" s="38"/>
      <c r="H486" s="38"/>
      <c r="I486" s="38"/>
      <c r="J486" s="38"/>
      <c r="K486" s="38"/>
      <c r="L486" s="55"/>
      <c r="M486" s="38"/>
      <c r="N486" s="38"/>
      <c r="O486" s="38"/>
      <c r="P486" s="38"/>
    </row>
    <row r="487" ht="15.75" customHeight="1">
      <c r="D487" s="38"/>
      <c r="E487" s="38"/>
      <c r="F487" s="38"/>
      <c r="G487" s="38"/>
      <c r="H487" s="38"/>
      <c r="I487" s="38"/>
      <c r="J487" s="38"/>
      <c r="K487" s="38"/>
      <c r="L487" s="55"/>
      <c r="M487" s="38"/>
      <c r="N487" s="38"/>
      <c r="O487" s="38"/>
      <c r="P487" s="38"/>
    </row>
    <row r="488" ht="15.75" customHeight="1">
      <c r="D488" s="38"/>
      <c r="E488" s="38"/>
      <c r="F488" s="38"/>
      <c r="G488" s="38"/>
      <c r="H488" s="38"/>
      <c r="I488" s="38"/>
      <c r="J488" s="38"/>
      <c r="K488" s="38"/>
      <c r="L488" s="55"/>
      <c r="M488" s="38"/>
      <c r="N488" s="38"/>
      <c r="O488" s="38"/>
      <c r="P488" s="38"/>
    </row>
    <row r="489" ht="15.75" customHeight="1">
      <c r="D489" s="38"/>
      <c r="E489" s="38"/>
      <c r="F489" s="38"/>
      <c r="G489" s="38"/>
      <c r="H489" s="38"/>
      <c r="I489" s="38"/>
      <c r="J489" s="38"/>
      <c r="K489" s="38"/>
      <c r="L489" s="55"/>
      <c r="M489" s="38"/>
      <c r="N489" s="38"/>
      <c r="O489" s="38"/>
      <c r="P489" s="38"/>
    </row>
    <row r="490" ht="15.75" customHeight="1">
      <c r="D490" s="38"/>
      <c r="E490" s="38"/>
      <c r="F490" s="38"/>
      <c r="G490" s="38"/>
      <c r="H490" s="38"/>
      <c r="I490" s="38"/>
      <c r="J490" s="38"/>
      <c r="K490" s="38"/>
      <c r="L490" s="55"/>
      <c r="M490" s="38"/>
      <c r="N490" s="38"/>
      <c r="O490" s="38"/>
      <c r="P490" s="38"/>
    </row>
    <row r="491" ht="15.75" customHeight="1">
      <c r="D491" s="38"/>
      <c r="E491" s="38"/>
      <c r="F491" s="38"/>
      <c r="G491" s="38"/>
      <c r="H491" s="38"/>
      <c r="I491" s="38"/>
      <c r="J491" s="38"/>
      <c r="K491" s="38"/>
      <c r="L491" s="55"/>
      <c r="M491" s="38"/>
      <c r="N491" s="38"/>
      <c r="O491" s="38"/>
      <c r="P491" s="38"/>
    </row>
    <row r="492" ht="15.75" customHeight="1">
      <c r="D492" s="38"/>
      <c r="E492" s="38"/>
      <c r="F492" s="38"/>
      <c r="G492" s="38"/>
      <c r="H492" s="38"/>
      <c r="I492" s="38"/>
      <c r="J492" s="38"/>
      <c r="K492" s="38"/>
      <c r="L492" s="55"/>
      <c r="M492" s="38"/>
      <c r="N492" s="38"/>
      <c r="O492" s="38"/>
      <c r="P492" s="38"/>
    </row>
    <row r="493" ht="15.75" customHeight="1">
      <c r="D493" s="38"/>
      <c r="E493" s="38"/>
      <c r="F493" s="38"/>
      <c r="G493" s="38"/>
      <c r="H493" s="38"/>
      <c r="I493" s="38"/>
      <c r="J493" s="38"/>
      <c r="K493" s="38"/>
      <c r="L493" s="55"/>
      <c r="M493" s="38"/>
      <c r="N493" s="38"/>
      <c r="O493" s="38"/>
      <c r="P493" s="38"/>
    </row>
    <row r="494" ht="15.75" customHeight="1">
      <c r="D494" s="38"/>
      <c r="E494" s="38"/>
      <c r="F494" s="38"/>
      <c r="G494" s="38"/>
      <c r="H494" s="38"/>
      <c r="I494" s="38"/>
      <c r="J494" s="38"/>
      <c r="K494" s="38"/>
      <c r="L494" s="55"/>
      <c r="M494" s="38"/>
      <c r="N494" s="38"/>
      <c r="O494" s="38"/>
      <c r="P494" s="38"/>
    </row>
    <row r="495" ht="15.75" customHeight="1">
      <c r="D495" s="38"/>
      <c r="E495" s="38"/>
      <c r="F495" s="38"/>
      <c r="G495" s="38"/>
      <c r="H495" s="38"/>
      <c r="I495" s="38"/>
      <c r="J495" s="38"/>
      <c r="K495" s="38"/>
      <c r="L495" s="55"/>
      <c r="M495" s="38"/>
      <c r="N495" s="38"/>
      <c r="O495" s="38"/>
      <c r="P495" s="38"/>
    </row>
    <row r="496" ht="15.75" customHeight="1">
      <c r="D496" s="38"/>
      <c r="E496" s="38"/>
      <c r="F496" s="38"/>
      <c r="G496" s="38"/>
      <c r="H496" s="38"/>
      <c r="I496" s="38"/>
      <c r="J496" s="38"/>
      <c r="K496" s="38"/>
      <c r="L496" s="55"/>
      <c r="M496" s="38"/>
      <c r="N496" s="38"/>
      <c r="O496" s="38"/>
      <c r="P496" s="38"/>
    </row>
    <row r="497" ht="15.75" customHeight="1">
      <c r="D497" s="38"/>
      <c r="E497" s="38"/>
      <c r="F497" s="38"/>
      <c r="G497" s="38"/>
      <c r="H497" s="38"/>
      <c r="I497" s="38"/>
      <c r="J497" s="38"/>
      <c r="K497" s="38"/>
      <c r="L497" s="55"/>
      <c r="M497" s="38"/>
      <c r="N497" s="38"/>
      <c r="O497" s="38"/>
      <c r="P497" s="38"/>
    </row>
    <row r="498" ht="15.75" customHeight="1">
      <c r="D498" s="38"/>
      <c r="E498" s="38"/>
      <c r="F498" s="38"/>
      <c r="G498" s="38"/>
      <c r="H498" s="38"/>
      <c r="I498" s="38"/>
      <c r="J498" s="38"/>
      <c r="K498" s="38"/>
      <c r="L498" s="55"/>
      <c r="M498" s="38"/>
      <c r="N498" s="38"/>
      <c r="O498" s="38"/>
      <c r="P498" s="38"/>
    </row>
    <row r="499" ht="15.75" customHeight="1">
      <c r="D499" s="38"/>
      <c r="E499" s="38"/>
      <c r="F499" s="38"/>
      <c r="G499" s="38"/>
      <c r="H499" s="38"/>
      <c r="I499" s="38"/>
      <c r="J499" s="38"/>
      <c r="K499" s="38"/>
      <c r="L499" s="55"/>
      <c r="M499" s="38"/>
      <c r="N499" s="38"/>
      <c r="O499" s="38"/>
      <c r="P499" s="38"/>
    </row>
    <row r="500" ht="15.75" customHeight="1">
      <c r="D500" s="38"/>
      <c r="E500" s="38"/>
      <c r="F500" s="38"/>
      <c r="G500" s="38"/>
      <c r="H500" s="38"/>
      <c r="I500" s="38"/>
      <c r="J500" s="38"/>
      <c r="K500" s="38"/>
      <c r="L500" s="55"/>
      <c r="M500" s="38"/>
      <c r="N500" s="38"/>
      <c r="O500" s="38"/>
      <c r="P500" s="38"/>
    </row>
    <row r="501" ht="15.75" customHeight="1">
      <c r="D501" s="38"/>
      <c r="E501" s="38"/>
      <c r="F501" s="38"/>
      <c r="G501" s="38"/>
      <c r="H501" s="38"/>
      <c r="I501" s="38"/>
      <c r="J501" s="38"/>
      <c r="K501" s="38"/>
      <c r="L501" s="55"/>
      <c r="M501" s="38"/>
      <c r="N501" s="38"/>
      <c r="O501" s="38"/>
      <c r="P501" s="38"/>
    </row>
    <row r="502" ht="15.75" customHeight="1">
      <c r="D502" s="38"/>
      <c r="E502" s="38"/>
      <c r="F502" s="38"/>
      <c r="G502" s="38"/>
      <c r="H502" s="38"/>
      <c r="I502" s="38"/>
      <c r="J502" s="38"/>
      <c r="K502" s="38"/>
      <c r="L502" s="55"/>
      <c r="M502" s="38"/>
      <c r="N502" s="38"/>
      <c r="O502" s="38"/>
      <c r="P502" s="38"/>
    </row>
    <row r="503" ht="15.75" customHeight="1">
      <c r="D503" s="38"/>
      <c r="E503" s="38"/>
      <c r="F503" s="38"/>
      <c r="G503" s="38"/>
      <c r="H503" s="38"/>
      <c r="I503" s="38"/>
      <c r="J503" s="38"/>
      <c r="K503" s="38"/>
      <c r="L503" s="55"/>
      <c r="M503" s="38"/>
      <c r="N503" s="38"/>
      <c r="O503" s="38"/>
      <c r="P503" s="38"/>
    </row>
    <row r="504" ht="15.75" customHeight="1">
      <c r="D504" s="38"/>
      <c r="E504" s="38"/>
      <c r="F504" s="38"/>
      <c r="G504" s="38"/>
      <c r="H504" s="38"/>
      <c r="I504" s="38"/>
      <c r="J504" s="38"/>
      <c r="K504" s="38"/>
      <c r="L504" s="55"/>
      <c r="M504" s="38"/>
      <c r="N504" s="38"/>
      <c r="O504" s="38"/>
      <c r="P504" s="38"/>
    </row>
    <row r="505" ht="15.75" customHeight="1">
      <c r="D505" s="38"/>
      <c r="E505" s="38"/>
      <c r="F505" s="38"/>
      <c r="G505" s="38"/>
      <c r="H505" s="38"/>
      <c r="I505" s="38"/>
      <c r="J505" s="38"/>
      <c r="K505" s="38"/>
      <c r="L505" s="55"/>
      <c r="M505" s="38"/>
      <c r="N505" s="38"/>
      <c r="O505" s="38"/>
      <c r="P505" s="38"/>
    </row>
    <row r="506" ht="15.75" customHeight="1">
      <c r="D506" s="38"/>
      <c r="E506" s="38"/>
      <c r="F506" s="38"/>
      <c r="G506" s="38"/>
      <c r="H506" s="38"/>
      <c r="I506" s="38"/>
      <c r="J506" s="38"/>
      <c r="K506" s="38"/>
      <c r="L506" s="55"/>
      <c r="M506" s="38"/>
      <c r="N506" s="38"/>
      <c r="O506" s="38"/>
      <c r="P506" s="38"/>
    </row>
    <row r="507" ht="15.75" customHeight="1">
      <c r="D507" s="38"/>
      <c r="E507" s="38"/>
      <c r="F507" s="38"/>
      <c r="G507" s="38"/>
      <c r="H507" s="38"/>
      <c r="I507" s="38"/>
      <c r="J507" s="38"/>
      <c r="K507" s="38"/>
      <c r="L507" s="55"/>
      <c r="M507" s="38"/>
      <c r="N507" s="38"/>
      <c r="O507" s="38"/>
      <c r="P507" s="38"/>
    </row>
    <row r="508" ht="15.75" customHeight="1">
      <c r="D508" s="38"/>
      <c r="E508" s="38"/>
      <c r="F508" s="38"/>
      <c r="G508" s="38"/>
      <c r="H508" s="38"/>
      <c r="I508" s="38"/>
      <c r="J508" s="38"/>
      <c r="K508" s="38"/>
      <c r="L508" s="55"/>
      <c r="M508" s="38"/>
      <c r="N508" s="38"/>
      <c r="O508" s="38"/>
      <c r="P508" s="38"/>
    </row>
    <row r="509" ht="15.75" customHeight="1">
      <c r="D509" s="38"/>
      <c r="E509" s="38"/>
      <c r="F509" s="38"/>
      <c r="G509" s="38"/>
      <c r="H509" s="38"/>
      <c r="I509" s="38"/>
      <c r="J509" s="38"/>
      <c r="K509" s="38"/>
      <c r="L509" s="55"/>
      <c r="M509" s="38"/>
      <c r="N509" s="38"/>
      <c r="O509" s="38"/>
      <c r="P509" s="38"/>
    </row>
    <row r="510" ht="15.75" customHeight="1">
      <c r="D510" s="38"/>
      <c r="E510" s="38"/>
      <c r="F510" s="38"/>
      <c r="G510" s="38"/>
      <c r="H510" s="38"/>
      <c r="I510" s="38"/>
      <c r="J510" s="38"/>
      <c r="K510" s="38"/>
      <c r="L510" s="55"/>
      <c r="M510" s="38"/>
      <c r="N510" s="38"/>
      <c r="O510" s="38"/>
      <c r="P510" s="38"/>
    </row>
    <row r="511" ht="15.75" customHeight="1">
      <c r="D511" s="38"/>
      <c r="E511" s="38"/>
      <c r="F511" s="38"/>
      <c r="G511" s="38"/>
      <c r="H511" s="38"/>
      <c r="I511" s="38"/>
      <c r="J511" s="38"/>
      <c r="K511" s="38"/>
      <c r="L511" s="55"/>
      <c r="M511" s="38"/>
      <c r="N511" s="38"/>
      <c r="O511" s="38"/>
      <c r="P511" s="38"/>
    </row>
    <row r="512" ht="15.75" customHeight="1">
      <c r="D512" s="38"/>
      <c r="E512" s="38"/>
      <c r="F512" s="38"/>
      <c r="G512" s="38"/>
      <c r="H512" s="38"/>
      <c r="I512" s="38"/>
      <c r="J512" s="38"/>
      <c r="K512" s="38"/>
      <c r="L512" s="55"/>
      <c r="M512" s="38"/>
      <c r="N512" s="38"/>
      <c r="O512" s="38"/>
      <c r="P512" s="38"/>
    </row>
    <row r="513" ht="15.75" customHeight="1">
      <c r="D513" s="38"/>
      <c r="E513" s="38"/>
      <c r="F513" s="38"/>
      <c r="G513" s="38"/>
      <c r="H513" s="38"/>
      <c r="I513" s="38"/>
      <c r="J513" s="38"/>
      <c r="K513" s="38"/>
      <c r="L513" s="55"/>
      <c r="M513" s="38"/>
      <c r="N513" s="38"/>
      <c r="O513" s="38"/>
      <c r="P513" s="38"/>
    </row>
    <row r="514" ht="15.75" customHeight="1">
      <c r="D514" s="38"/>
      <c r="E514" s="38"/>
      <c r="F514" s="38"/>
      <c r="G514" s="38"/>
      <c r="H514" s="38"/>
      <c r="I514" s="38"/>
      <c r="J514" s="38"/>
      <c r="K514" s="38"/>
      <c r="L514" s="55"/>
      <c r="M514" s="38"/>
      <c r="N514" s="38"/>
      <c r="O514" s="38"/>
      <c r="P514" s="38"/>
    </row>
    <row r="515" ht="15.75" customHeight="1">
      <c r="D515" s="38"/>
      <c r="E515" s="38"/>
      <c r="F515" s="38"/>
      <c r="G515" s="38"/>
      <c r="H515" s="38"/>
      <c r="I515" s="38"/>
      <c r="J515" s="38"/>
      <c r="K515" s="38"/>
      <c r="L515" s="55"/>
      <c r="M515" s="38"/>
      <c r="N515" s="38"/>
      <c r="O515" s="38"/>
      <c r="P515" s="38"/>
    </row>
    <row r="516" ht="15.75" customHeight="1">
      <c r="D516" s="38"/>
      <c r="E516" s="38"/>
      <c r="F516" s="38"/>
      <c r="G516" s="38"/>
      <c r="H516" s="38"/>
      <c r="I516" s="38"/>
      <c r="J516" s="38"/>
      <c r="K516" s="38"/>
      <c r="L516" s="55"/>
      <c r="M516" s="38"/>
      <c r="N516" s="38"/>
      <c r="O516" s="38"/>
      <c r="P516" s="38"/>
    </row>
    <row r="517" ht="15.75" customHeight="1">
      <c r="D517" s="38"/>
      <c r="E517" s="38"/>
      <c r="F517" s="38"/>
      <c r="G517" s="38"/>
      <c r="H517" s="38"/>
      <c r="I517" s="38"/>
      <c r="J517" s="38"/>
      <c r="K517" s="38"/>
      <c r="L517" s="55"/>
      <c r="M517" s="38"/>
      <c r="N517" s="38"/>
      <c r="O517" s="38"/>
      <c r="P517" s="38"/>
    </row>
    <row r="518" ht="15.75" customHeight="1">
      <c r="D518" s="38"/>
      <c r="E518" s="38"/>
      <c r="F518" s="38"/>
      <c r="G518" s="38"/>
      <c r="H518" s="38"/>
      <c r="I518" s="38"/>
      <c r="J518" s="38"/>
      <c r="K518" s="38"/>
      <c r="L518" s="55"/>
      <c r="M518" s="38"/>
      <c r="N518" s="38"/>
      <c r="O518" s="38"/>
      <c r="P518" s="38"/>
    </row>
    <row r="519" ht="15.75" customHeight="1">
      <c r="D519" s="38"/>
      <c r="E519" s="38"/>
      <c r="F519" s="38"/>
      <c r="G519" s="38"/>
      <c r="H519" s="38"/>
      <c r="I519" s="38"/>
      <c r="J519" s="38"/>
      <c r="K519" s="38"/>
      <c r="L519" s="55"/>
      <c r="M519" s="38"/>
      <c r="N519" s="38"/>
      <c r="O519" s="38"/>
      <c r="P519" s="38"/>
    </row>
    <row r="520" ht="15.75" customHeight="1">
      <c r="D520" s="38"/>
      <c r="E520" s="38"/>
      <c r="F520" s="38"/>
      <c r="G520" s="38"/>
      <c r="H520" s="38"/>
      <c r="I520" s="38"/>
      <c r="J520" s="38"/>
      <c r="K520" s="38"/>
      <c r="L520" s="55"/>
      <c r="M520" s="38"/>
      <c r="N520" s="38"/>
      <c r="O520" s="38"/>
      <c r="P520" s="38"/>
    </row>
    <row r="521" ht="15.75" customHeight="1">
      <c r="D521" s="38"/>
      <c r="E521" s="38"/>
      <c r="F521" s="38"/>
      <c r="G521" s="38"/>
      <c r="H521" s="38"/>
      <c r="I521" s="38"/>
      <c r="J521" s="38"/>
      <c r="K521" s="38"/>
      <c r="L521" s="55"/>
      <c r="M521" s="38"/>
      <c r="N521" s="38"/>
      <c r="O521" s="38"/>
      <c r="P521" s="38"/>
    </row>
    <row r="522" ht="15.75" customHeight="1">
      <c r="D522" s="38"/>
      <c r="E522" s="38"/>
      <c r="F522" s="38"/>
      <c r="G522" s="38"/>
      <c r="H522" s="38"/>
      <c r="I522" s="38"/>
      <c r="J522" s="38"/>
      <c r="K522" s="38"/>
      <c r="L522" s="55"/>
      <c r="M522" s="38"/>
      <c r="N522" s="38"/>
      <c r="O522" s="38"/>
      <c r="P522" s="38"/>
    </row>
    <row r="523" ht="15.75" customHeight="1">
      <c r="D523" s="38"/>
      <c r="E523" s="38"/>
      <c r="F523" s="38"/>
      <c r="G523" s="38"/>
      <c r="H523" s="38"/>
      <c r="I523" s="38"/>
      <c r="J523" s="38"/>
      <c r="K523" s="38"/>
      <c r="L523" s="55"/>
      <c r="M523" s="38"/>
      <c r="N523" s="38"/>
      <c r="O523" s="38"/>
      <c r="P523" s="38"/>
    </row>
    <row r="524" ht="15.75" customHeight="1">
      <c r="D524" s="38"/>
      <c r="E524" s="38"/>
      <c r="F524" s="38"/>
      <c r="G524" s="38"/>
      <c r="H524" s="38"/>
      <c r="I524" s="38"/>
      <c r="J524" s="38"/>
      <c r="K524" s="38"/>
      <c r="L524" s="55"/>
      <c r="M524" s="38"/>
      <c r="N524" s="38"/>
      <c r="O524" s="38"/>
      <c r="P524" s="38"/>
    </row>
    <row r="525" ht="15.75" customHeight="1">
      <c r="D525" s="38"/>
      <c r="E525" s="38"/>
      <c r="F525" s="38"/>
      <c r="G525" s="38"/>
      <c r="H525" s="38"/>
      <c r="I525" s="38"/>
      <c r="J525" s="38"/>
      <c r="K525" s="38"/>
      <c r="L525" s="55"/>
      <c r="M525" s="38"/>
      <c r="N525" s="38"/>
      <c r="O525" s="38"/>
      <c r="P525" s="38"/>
    </row>
    <row r="526" ht="15.75" customHeight="1">
      <c r="D526" s="38"/>
      <c r="E526" s="38"/>
      <c r="F526" s="38"/>
      <c r="G526" s="38"/>
      <c r="H526" s="38"/>
      <c r="I526" s="38"/>
      <c r="J526" s="38"/>
      <c r="K526" s="38"/>
      <c r="L526" s="55"/>
      <c r="M526" s="38"/>
      <c r="N526" s="38"/>
      <c r="O526" s="38"/>
      <c r="P526" s="38"/>
    </row>
    <row r="527" ht="15.75" customHeight="1">
      <c r="D527" s="38"/>
      <c r="E527" s="38"/>
      <c r="F527" s="38"/>
      <c r="G527" s="38"/>
      <c r="H527" s="38"/>
      <c r="I527" s="38"/>
      <c r="J527" s="38"/>
      <c r="K527" s="38"/>
      <c r="L527" s="55"/>
      <c r="M527" s="38"/>
      <c r="N527" s="38"/>
      <c r="O527" s="38"/>
      <c r="P527" s="38"/>
    </row>
    <row r="528" ht="15.75" customHeight="1">
      <c r="D528" s="38"/>
      <c r="E528" s="38"/>
      <c r="F528" s="38"/>
      <c r="G528" s="38"/>
      <c r="H528" s="38"/>
      <c r="I528" s="38"/>
      <c r="J528" s="38"/>
      <c r="K528" s="38"/>
      <c r="L528" s="55"/>
      <c r="M528" s="38"/>
      <c r="N528" s="38"/>
      <c r="O528" s="38"/>
      <c r="P528" s="38"/>
    </row>
    <row r="529" ht="15.75" customHeight="1">
      <c r="D529" s="38"/>
      <c r="E529" s="38"/>
      <c r="F529" s="38"/>
      <c r="G529" s="38"/>
      <c r="H529" s="38"/>
      <c r="I529" s="38"/>
      <c r="J529" s="38"/>
      <c r="K529" s="38"/>
      <c r="L529" s="55"/>
      <c r="M529" s="38"/>
      <c r="N529" s="38"/>
      <c r="O529" s="38"/>
      <c r="P529" s="38"/>
    </row>
    <row r="530" ht="15.75" customHeight="1">
      <c r="D530" s="38"/>
      <c r="E530" s="38"/>
      <c r="F530" s="38"/>
      <c r="G530" s="38"/>
      <c r="H530" s="38"/>
      <c r="I530" s="38"/>
      <c r="J530" s="38"/>
      <c r="K530" s="38"/>
      <c r="L530" s="55"/>
      <c r="M530" s="38"/>
      <c r="N530" s="38"/>
      <c r="O530" s="38"/>
      <c r="P530" s="38"/>
    </row>
    <row r="531" ht="15.75" customHeight="1">
      <c r="D531" s="38"/>
      <c r="E531" s="38"/>
      <c r="F531" s="38"/>
      <c r="G531" s="38"/>
      <c r="H531" s="38"/>
      <c r="I531" s="38"/>
      <c r="J531" s="38"/>
      <c r="K531" s="38"/>
      <c r="L531" s="55"/>
      <c r="M531" s="38"/>
      <c r="N531" s="38"/>
      <c r="O531" s="38"/>
      <c r="P531" s="38"/>
    </row>
    <row r="532" ht="15.75" customHeight="1">
      <c r="D532" s="38"/>
      <c r="E532" s="38"/>
      <c r="F532" s="38"/>
      <c r="G532" s="38"/>
      <c r="H532" s="38"/>
      <c r="I532" s="38"/>
      <c r="J532" s="38"/>
      <c r="K532" s="38"/>
      <c r="L532" s="55"/>
      <c r="M532" s="38"/>
      <c r="N532" s="38"/>
      <c r="O532" s="38"/>
      <c r="P532" s="38"/>
    </row>
    <row r="533" ht="15.75" customHeight="1">
      <c r="D533" s="38"/>
      <c r="E533" s="38"/>
      <c r="F533" s="38"/>
      <c r="G533" s="38"/>
      <c r="H533" s="38"/>
      <c r="I533" s="38"/>
      <c r="J533" s="38"/>
      <c r="K533" s="38"/>
      <c r="L533" s="55"/>
      <c r="M533" s="38"/>
      <c r="N533" s="38"/>
      <c r="O533" s="38"/>
      <c r="P533" s="38"/>
    </row>
    <row r="534" ht="15.75" customHeight="1">
      <c r="D534" s="38"/>
      <c r="E534" s="38"/>
      <c r="F534" s="38"/>
      <c r="G534" s="38"/>
      <c r="H534" s="38"/>
      <c r="I534" s="38"/>
      <c r="J534" s="38"/>
      <c r="K534" s="38"/>
      <c r="L534" s="55"/>
      <c r="M534" s="38"/>
      <c r="N534" s="38"/>
      <c r="O534" s="38"/>
      <c r="P534" s="38"/>
    </row>
    <row r="535" ht="15.75" customHeight="1">
      <c r="D535" s="38"/>
      <c r="E535" s="38"/>
      <c r="F535" s="38"/>
      <c r="G535" s="38"/>
      <c r="H535" s="38"/>
      <c r="I535" s="38"/>
      <c r="J535" s="38"/>
      <c r="K535" s="38"/>
      <c r="L535" s="55"/>
      <c r="M535" s="38"/>
      <c r="N535" s="38"/>
      <c r="O535" s="38"/>
      <c r="P535" s="38"/>
    </row>
    <row r="536" ht="15.75" customHeight="1">
      <c r="D536" s="38"/>
      <c r="E536" s="38"/>
      <c r="F536" s="38"/>
      <c r="G536" s="38"/>
      <c r="H536" s="38"/>
      <c r="I536" s="38"/>
      <c r="J536" s="38"/>
      <c r="K536" s="38"/>
      <c r="L536" s="55"/>
      <c r="M536" s="38"/>
      <c r="N536" s="38"/>
      <c r="O536" s="38"/>
      <c r="P536" s="38"/>
    </row>
    <row r="537" ht="15.75" customHeight="1">
      <c r="D537" s="38"/>
      <c r="E537" s="38"/>
      <c r="F537" s="38"/>
      <c r="G537" s="38"/>
      <c r="H537" s="38"/>
      <c r="I537" s="38"/>
      <c r="J537" s="38"/>
      <c r="K537" s="38"/>
      <c r="L537" s="55"/>
      <c r="M537" s="38"/>
      <c r="N537" s="38"/>
      <c r="O537" s="38"/>
      <c r="P537" s="38"/>
    </row>
    <row r="538" ht="15.75" customHeight="1">
      <c r="D538" s="38"/>
      <c r="E538" s="38"/>
      <c r="F538" s="38"/>
      <c r="G538" s="38"/>
      <c r="H538" s="38"/>
      <c r="I538" s="38"/>
      <c r="J538" s="38"/>
      <c r="K538" s="38"/>
      <c r="L538" s="55"/>
      <c r="M538" s="38"/>
      <c r="N538" s="38"/>
      <c r="O538" s="38"/>
      <c r="P538" s="38"/>
    </row>
    <row r="539" ht="15.75" customHeight="1">
      <c r="D539" s="38"/>
      <c r="E539" s="38"/>
      <c r="F539" s="38"/>
      <c r="G539" s="38"/>
      <c r="H539" s="38"/>
      <c r="I539" s="38"/>
      <c r="J539" s="38"/>
      <c r="K539" s="38"/>
      <c r="L539" s="55"/>
      <c r="M539" s="38"/>
      <c r="N539" s="38"/>
      <c r="O539" s="38"/>
      <c r="P539" s="38"/>
    </row>
    <row r="540" ht="15.75" customHeight="1">
      <c r="D540" s="38"/>
      <c r="E540" s="38"/>
      <c r="F540" s="38"/>
      <c r="G540" s="38"/>
      <c r="H540" s="38"/>
      <c r="I540" s="38"/>
      <c r="J540" s="38"/>
      <c r="K540" s="38"/>
      <c r="L540" s="55"/>
      <c r="M540" s="38"/>
      <c r="N540" s="38"/>
      <c r="O540" s="38"/>
      <c r="P540" s="38"/>
    </row>
    <row r="541" ht="15.75" customHeight="1">
      <c r="D541" s="38"/>
      <c r="E541" s="38"/>
      <c r="F541" s="38"/>
      <c r="G541" s="38"/>
      <c r="H541" s="38"/>
      <c r="I541" s="38"/>
      <c r="J541" s="38"/>
      <c r="K541" s="38"/>
      <c r="L541" s="55"/>
      <c r="M541" s="38"/>
      <c r="N541" s="38"/>
      <c r="O541" s="38"/>
      <c r="P541" s="38"/>
    </row>
    <row r="542" ht="15.75" customHeight="1">
      <c r="D542" s="38"/>
      <c r="E542" s="38"/>
      <c r="F542" s="38"/>
      <c r="G542" s="38"/>
      <c r="H542" s="38"/>
      <c r="I542" s="38"/>
      <c r="J542" s="38"/>
      <c r="K542" s="38"/>
      <c r="L542" s="55"/>
      <c r="M542" s="38"/>
      <c r="N542" s="38"/>
      <c r="O542" s="38"/>
      <c r="P542" s="38"/>
    </row>
    <row r="543" ht="15.75" customHeight="1">
      <c r="D543" s="38"/>
      <c r="E543" s="38"/>
      <c r="F543" s="38"/>
      <c r="G543" s="38"/>
      <c r="H543" s="38"/>
      <c r="I543" s="38"/>
      <c r="J543" s="38"/>
      <c r="K543" s="38"/>
      <c r="L543" s="55"/>
      <c r="M543" s="38"/>
      <c r="N543" s="38"/>
      <c r="O543" s="38"/>
      <c r="P543" s="38"/>
    </row>
    <row r="544" ht="15.75" customHeight="1">
      <c r="D544" s="38"/>
      <c r="E544" s="38"/>
      <c r="F544" s="38"/>
      <c r="G544" s="38"/>
      <c r="H544" s="38"/>
      <c r="I544" s="38"/>
      <c r="J544" s="38"/>
      <c r="K544" s="38"/>
      <c r="L544" s="55"/>
      <c r="M544" s="38"/>
      <c r="N544" s="38"/>
      <c r="O544" s="38"/>
      <c r="P544" s="38"/>
    </row>
    <row r="545" ht="15.75" customHeight="1">
      <c r="D545" s="38"/>
      <c r="E545" s="38"/>
      <c r="F545" s="38"/>
      <c r="G545" s="38"/>
      <c r="H545" s="38"/>
      <c r="I545" s="38"/>
      <c r="J545" s="38"/>
      <c r="K545" s="38"/>
      <c r="L545" s="55"/>
      <c r="M545" s="38"/>
      <c r="N545" s="38"/>
      <c r="O545" s="38"/>
      <c r="P545" s="38"/>
    </row>
    <row r="546" ht="15.75" customHeight="1">
      <c r="D546" s="38"/>
      <c r="E546" s="38"/>
      <c r="F546" s="38"/>
      <c r="G546" s="38"/>
      <c r="H546" s="38"/>
      <c r="I546" s="38"/>
      <c r="J546" s="38"/>
      <c r="K546" s="38"/>
      <c r="L546" s="55"/>
      <c r="M546" s="38"/>
      <c r="N546" s="38"/>
      <c r="O546" s="38"/>
      <c r="P546" s="38"/>
    </row>
    <row r="547" ht="15.75" customHeight="1">
      <c r="D547" s="38"/>
      <c r="E547" s="38"/>
      <c r="F547" s="38"/>
      <c r="G547" s="38"/>
      <c r="H547" s="38"/>
      <c r="I547" s="38"/>
      <c r="J547" s="38"/>
      <c r="K547" s="38"/>
      <c r="L547" s="55"/>
      <c r="M547" s="38"/>
      <c r="N547" s="38"/>
      <c r="O547" s="38"/>
      <c r="P547" s="38"/>
    </row>
    <row r="548" ht="15.75" customHeight="1">
      <c r="D548" s="38"/>
      <c r="E548" s="38"/>
      <c r="F548" s="38"/>
      <c r="G548" s="38"/>
      <c r="H548" s="38"/>
      <c r="I548" s="38"/>
      <c r="J548" s="38"/>
      <c r="K548" s="38"/>
      <c r="L548" s="55"/>
      <c r="M548" s="38"/>
      <c r="N548" s="38"/>
      <c r="O548" s="38"/>
      <c r="P548" s="38"/>
    </row>
    <row r="549" ht="15.75" customHeight="1">
      <c r="D549" s="38"/>
      <c r="E549" s="38"/>
      <c r="F549" s="38"/>
      <c r="G549" s="38"/>
      <c r="H549" s="38"/>
      <c r="I549" s="38"/>
      <c r="J549" s="38"/>
      <c r="K549" s="38"/>
      <c r="L549" s="55"/>
      <c r="M549" s="38"/>
      <c r="N549" s="38"/>
      <c r="O549" s="38"/>
      <c r="P549" s="38"/>
    </row>
    <row r="550" ht="15.75" customHeight="1">
      <c r="D550" s="38"/>
      <c r="E550" s="38"/>
      <c r="F550" s="38"/>
      <c r="G550" s="38"/>
      <c r="H550" s="38"/>
      <c r="I550" s="38"/>
      <c r="J550" s="38"/>
      <c r="K550" s="38"/>
      <c r="L550" s="55"/>
      <c r="M550" s="38"/>
      <c r="N550" s="38"/>
      <c r="O550" s="38"/>
      <c r="P550" s="38"/>
    </row>
    <row r="551" ht="15.75" customHeight="1">
      <c r="D551" s="38"/>
      <c r="E551" s="38"/>
      <c r="F551" s="38"/>
      <c r="G551" s="38"/>
      <c r="H551" s="38"/>
      <c r="I551" s="38"/>
      <c r="J551" s="38"/>
      <c r="K551" s="38"/>
      <c r="L551" s="55"/>
      <c r="M551" s="38"/>
      <c r="N551" s="38"/>
      <c r="O551" s="38"/>
      <c r="P551" s="38"/>
    </row>
    <row r="552" ht="15.75" customHeight="1">
      <c r="D552" s="38"/>
      <c r="E552" s="38"/>
      <c r="F552" s="38"/>
      <c r="G552" s="38"/>
      <c r="H552" s="38"/>
      <c r="I552" s="38"/>
      <c r="J552" s="38"/>
      <c r="K552" s="38"/>
      <c r="L552" s="55"/>
      <c r="M552" s="38"/>
      <c r="N552" s="38"/>
      <c r="O552" s="38"/>
      <c r="P552" s="38"/>
    </row>
    <row r="553" ht="15.75" customHeight="1">
      <c r="D553" s="38"/>
      <c r="E553" s="38"/>
      <c r="F553" s="38"/>
      <c r="G553" s="38"/>
      <c r="H553" s="38"/>
      <c r="I553" s="38"/>
      <c r="J553" s="38"/>
      <c r="K553" s="38"/>
      <c r="L553" s="55"/>
      <c r="M553" s="38"/>
      <c r="N553" s="38"/>
      <c r="O553" s="38"/>
      <c r="P553" s="38"/>
    </row>
    <row r="554" ht="15.75" customHeight="1">
      <c r="D554" s="38"/>
      <c r="E554" s="38"/>
      <c r="F554" s="38"/>
      <c r="G554" s="38"/>
      <c r="H554" s="38"/>
      <c r="I554" s="38"/>
      <c r="J554" s="38"/>
      <c r="K554" s="38"/>
      <c r="L554" s="55"/>
      <c r="M554" s="38"/>
      <c r="N554" s="38"/>
      <c r="O554" s="38"/>
      <c r="P554" s="38"/>
    </row>
    <row r="555" ht="15.75" customHeight="1">
      <c r="D555" s="38"/>
      <c r="E555" s="38"/>
      <c r="F555" s="38"/>
      <c r="G555" s="38"/>
      <c r="H555" s="38"/>
      <c r="I555" s="38"/>
      <c r="J555" s="38"/>
      <c r="K555" s="38"/>
      <c r="L555" s="55"/>
      <c r="M555" s="38"/>
      <c r="N555" s="38"/>
      <c r="O555" s="38"/>
      <c r="P555" s="38"/>
    </row>
    <row r="556" ht="15.75" customHeight="1">
      <c r="D556" s="38"/>
      <c r="E556" s="38"/>
      <c r="F556" s="38"/>
      <c r="G556" s="38"/>
      <c r="H556" s="38"/>
      <c r="I556" s="38"/>
      <c r="J556" s="38"/>
      <c r="K556" s="38"/>
      <c r="L556" s="55"/>
      <c r="M556" s="38"/>
      <c r="N556" s="38"/>
      <c r="O556" s="38"/>
      <c r="P556" s="38"/>
    </row>
    <row r="557" ht="15.75" customHeight="1">
      <c r="D557" s="38"/>
      <c r="E557" s="38"/>
      <c r="F557" s="38"/>
      <c r="G557" s="38"/>
      <c r="H557" s="38"/>
      <c r="I557" s="38"/>
      <c r="J557" s="38"/>
      <c r="K557" s="38"/>
      <c r="L557" s="55"/>
      <c r="M557" s="38"/>
      <c r="N557" s="38"/>
      <c r="O557" s="38"/>
      <c r="P557" s="38"/>
    </row>
    <row r="558" ht="15.75" customHeight="1">
      <c r="D558" s="38"/>
      <c r="E558" s="38"/>
      <c r="F558" s="38"/>
      <c r="G558" s="38"/>
      <c r="H558" s="38"/>
      <c r="I558" s="38"/>
      <c r="J558" s="38"/>
      <c r="K558" s="38"/>
      <c r="L558" s="55"/>
      <c r="M558" s="38"/>
      <c r="N558" s="38"/>
      <c r="O558" s="38"/>
      <c r="P558" s="38"/>
    </row>
    <row r="559" ht="15.75" customHeight="1">
      <c r="D559" s="38"/>
      <c r="E559" s="38"/>
      <c r="F559" s="38"/>
      <c r="G559" s="38"/>
      <c r="H559" s="38"/>
      <c r="I559" s="38"/>
      <c r="J559" s="38"/>
      <c r="K559" s="38"/>
      <c r="L559" s="55"/>
      <c r="M559" s="38"/>
      <c r="N559" s="38"/>
      <c r="O559" s="38"/>
      <c r="P559" s="38"/>
    </row>
    <row r="560" ht="15.75" customHeight="1">
      <c r="D560" s="38"/>
      <c r="E560" s="38"/>
      <c r="F560" s="38"/>
      <c r="G560" s="38"/>
      <c r="H560" s="38"/>
      <c r="I560" s="38"/>
      <c r="J560" s="38"/>
      <c r="K560" s="38"/>
      <c r="L560" s="55"/>
      <c r="M560" s="38"/>
      <c r="N560" s="38"/>
      <c r="O560" s="38"/>
      <c r="P560" s="38"/>
    </row>
    <row r="561" ht="15.75" customHeight="1">
      <c r="D561" s="38"/>
      <c r="E561" s="38"/>
      <c r="F561" s="38"/>
      <c r="G561" s="38"/>
      <c r="H561" s="38"/>
      <c r="I561" s="38"/>
      <c r="J561" s="38"/>
      <c r="K561" s="38"/>
      <c r="L561" s="55"/>
      <c r="M561" s="38"/>
      <c r="N561" s="38"/>
      <c r="O561" s="38"/>
      <c r="P561" s="38"/>
    </row>
    <row r="562" ht="15.75" customHeight="1">
      <c r="D562" s="38"/>
      <c r="E562" s="38"/>
      <c r="F562" s="38"/>
      <c r="G562" s="38"/>
      <c r="H562" s="38"/>
      <c r="I562" s="38"/>
      <c r="J562" s="38"/>
      <c r="K562" s="38"/>
      <c r="L562" s="55"/>
      <c r="M562" s="38"/>
      <c r="N562" s="38"/>
      <c r="O562" s="38"/>
      <c r="P562" s="38"/>
    </row>
    <row r="563" ht="15.75" customHeight="1">
      <c r="D563" s="38"/>
      <c r="E563" s="38"/>
      <c r="F563" s="38"/>
      <c r="G563" s="38"/>
      <c r="H563" s="38"/>
      <c r="I563" s="38"/>
      <c r="J563" s="38"/>
      <c r="K563" s="38"/>
      <c r="L563" s="55"/>
      <c r="M563" s="38"/>
      <c r="N563" s="38"/>
      <c r="O563" s="38"/>
      <c r="P563" s="38"/>
    </row>
    <row r="564" ht="15.75" customHeight="1">
      <c r="D564" s="38"/>
      <c r="E564" s="38"/>
      <c r="F564" s="38"/>
      <c r="G564" s="38"/>
      <c r="H564" s="38"/>
      <c r="I564" s="38"/>
      <c r="J564" s="38"/>
      <c r="K564" s="38"/>
      <c r="L564" s="55"/>
      <c r="M564" s="38"/>
      <c r="N564" s="38"/>
      <c r="O564" s="38"/>
      <c r="P564" s="38"/>
    </row>
    <row r="565" ht="15.75" customHeight="1">
      <c r="D565" s="38"/>
      <c r="E565" s="38"/>
      <c r="F565" s="38"/>
      <c r="G565" s="38"/>
      <c r="H565" s="38"/>
      <c r="I565" s="38"/>
      <c r="J565" s="38"/>
      <c r="K565" s="38"/>
      <c r="L565" s="55"/>
      <c r="M565" s="38"/>
      <c r="N565" s="38"/>
      <c r="O565" s="38"/>
      <c r="P565" s="38"/>
    </row>
    <row r="566" ht="15.75" customHeight="1">
      <c r="D566" s="38"/>
      <c r="E566" s="38"/>
      <c r="F566" s="38"/>
      <c r="G566" s="38"/>
      <c r="H566" s="38"/>
      <c r="I566" s="38"/>
      <c r="J566" s="38"/>
      <c r="K566" s="38"/>
      <c r="L566" s="55"/>
      <c r="M566" s="38"/>
      <c r="N566" s="38"/>
      <c r="O566" s="38"/>
      <c r="P566" s="38"/>
    </row>
    <row r="567" ht="15.75" customHeight="1">
      <c r="D567" s="38"/>
      <c r="E567" s="38"/>
      <c r="F567" s="38"/>
      <c r="G567" s="38"/>
      <c r="H567" s="38"/>
      <c r="I567" s="38"/>
      <c r="J567" s="38"/>
      <c r="K567" s="38"/>
      <c r="L567" s="55"/>
      <c r="M567" s="38"/>
      <c r="N567" s="38"/>
      <c r="O567" s="38"/>
      <c r="P567" s="38"/>
    </row>
    <row r="568" ht="15.75" customHeight="1">
      <c r="D568" s="38"/>
      <c r="E568" s="38"/>
      <c r="F568" s="38"/>
      <c r="G568" s="38"/>
      <c r="H568" s="38"/>
      <c r="I568" s="38"/>
      <c r="J568" s="38"/>
      <c r="K568" s="38"/>
      <c r="L568" s="55"/>
      <c r="M568" s="38"/>
      <c r="N568" s="38"/>
      <c r="O568" s="38"/>
      <c r="P568" s="38"/>
    </row>
    <row r="569" ht="15.75" customHeight="1">
      <c r="D569" s="38"/>
      <c r="E569" s="38"/>
      <c r="F569" s="38"/>
      <c r="G569" s="38"/>
      <c r="H569" s="38"/>
      <c r="I569" s="38"/>
      <c r="J569" s="38"/>
      <c r="K569" s="38"/>
      <c r="L569" s="55"/>
      <c r="M569" s="38"/>
      <c r="N569" s="38"/>
      <c r="O569" s="38"/>
      <c r="P569" s="38"/>
    </row>
    <row r="570" ht="15.75" customHeight="1">
      <c r="D570" s="38"/>
      <c r="E570" s="38"/>
      <c r="F570" s="38"/>
      <c r="G570" s="38"/>
      <c r="H570" s="38"/>
      <c r="I570" s="38"/>
      <c r="J570" s="38"/>
      <c r="K570" s="38"/>
      <c r="L570" s="55"/>
      <c r="M570" s="38"/>
      <c r="N570" s="38"/>
      <c r="O570" s="38"/>
      <c r="P570" s="38"/>
    </row>
    <row r="571" ht="15.75" customHeight="1">
      <c r="D571" s="38"/>
      <c r="E571" s="38"/>
      <c r="F571" s="38"/>
      <c r="G571" s="38"/>
      <c r="H571" s="38"/>
      <c r="I571" s="38"/>
      <c r="J571" s="38"/>
      <c r="K571" s="38"/>
      <c r="L571" s="55"/>
      <c r="M571" s="38"/>
      <c r="N571" s="38"/>
      <c r="O571" s="38"/>
      <c r="P571" s="38"/>
    </row>
    <row r="572" ht="15.75" customHeight="1">
      <c r="D572" s="38"/>
      <c r="E572" s="38"/>
      <c r="F572" s="38"/>
      <c r="G572" s="38"/>
      <c r="H572" s="38"/>
      <c r="I572" s="38"/>
      <c r="J572" s="38"/>
      <c r="K572" s="38"/>
      <c r="L572" s="55"/>
      <c r="M572" s="38"/>
      <c r="N572" s="38"/>
      <c r="O572" s="38"/>
      <c r="P572" s="38"/>
    </row>
    <row r="573" ht="15.75" customHeight="1">
      <c r="D573" s="38"/>
      <c r="E573" s="38"/>
      <c r="F573" s="38"/>
      <c r="G573" s="38"/>
      <c r="H573" s="38"/>
      <c r="I573" s="38"/>
      <c r="J573" s="38"/>
      <c r="K573" s="38"/>
      <c r="L573" s="55"/>
      <c r="M573" s="38"/>
      <c r="N573" s="38"/>
      <c r="O573" s="38"/>
      <c r="P573" s="38"/>
    </row>
    <row r="574" ht="15.75" customHeight="1">
      <c r="D574" s="38"/>
      <c r="E574" s="38"/>
      <c r="F574" s="38"/>
      <c r="G574" s="38"/>
      <c r="H574" s="38"/>
      <c r="I574" s="38"/>
      <c r="J574" s="38"/>
      <c r="K574" s="38"/>
      <c r="L574" s="55"/>
      <c r="M574" s="38"/>
      <c r="N574" s="38"/>
      <c r="O574" s="38"/>
      <c r="P574" s="38"/>
    </row>
    <row r="575" ht="15.75" customHeight="1">
      <c r="D575" s="38"/>
      <c r="E575" s="38"/>
      <c r="F575" s="38"/>
      <c r="G575" s="38"/>
      <c r="H575" s="38"/>
      <c r="I575" s="38"/>
      <c r="J575" s="38"/>
      <c r="K575" s="38"/>
      <c r="L575" s="55"/>
      <c r="M575" s="38"/>
      <c r="N575" s="38"/>
      <c r="O575" s="38"/>
      <c r="P575" s="38"/>
    </row>
    <row r="576" ht="15.75" customHeight="1">
      <c r="D576" s="38"/>
      <c r="E576" s="38"/>
      <c r="F576" s="38"/>
      <c r="G576" s="38"/>
      <c r="H576" s="38"/>
      <c r="I576" s="38"/>
      <c r="J576" s="38"/>
      <c r="K576" s="38"/>
      <c r="L576" s="55"/>
      <c r="M576" s="38"/>
      <c r="N576" s="38"/>
      <c r="O576" s="38"/>
      <c r="P576" s="38"/>
    </row>
    <row r="577" ht="15.75" customHeight="1">
      <c r="D577" s="38"/>
      <c r="E577" s="38"/>
      <c r="F577" s="38"/>
      <c r="G577" s="38"/>
      <c r="H577" s="38"/>
      <c r="I577" s="38"/>
      <c r="J577" s="38"/>
      <c r="K577" s="38"/>
      <c r="L577" s="55"/>
      <c r="M577" s="38"/>
      <c r="N577" s="38"/>
      <c r="O577" s="38"/>
      <c r="P577" s="38"/>
    </row>
    <row r="578" ht="15.75" customHeight="1">
      <c r="D578" s="38"/>
      <c r="E578" s="38"/>
      <c r="F578" s="38"/>
      <c r="G578" s="38"/>
      <c r="H578" s="38"/>
      <c r="I578" s="38"/>
      <c r="J578" s="38"/>
      <c r="K578" s="38"/>
      <c r="L578" s="55"/>
      <c r="M578" s="38"/>
      <c r="N578" s="38"/>
      <c r="O578" s="38"/>
      <c r="P578" s="38"/>
    </row>
    <row r="579" ht="15.75" customHeight="1">
      <c r="D579" s="38"/>
      <c r="E579" s="38"/>
      <c r="F579" s="38"/>
      <c r="G579" s="38"/>
      <c r="H579" s="38"/>
      <c r="I579" s="38"/>
      <c r="J579" s="38"/>
      <c r="K579" s="38"/>
      <c r="L579" s="55"/>
      <c r="M579" s="38"/>
      <c r="N579" s="38"/>
      <c r="O579" s="38"/>
      <c r="P579" s="38"/>
    </row>
    <row r="580" ht="15.75" customHeight="1">
      <c r="D580" s="38"/>
      <c r="E580" s="38"/>
      <c r="F580" s="38"/>
      <c r="G580" s="38"/>
      <c r="H580" s="38"/>
      <c r="I580" s="38"/>
      <c r="J580" s="38"/>
      <c r="K580" s="38"/>
      <c r="L580" s="55"/>
      <c r="M580" s="38"/>
      <c r="N580" s="38"/>
      <c r="O580" s="38"/>
      <c r="P580" s="38"/>
    </row>
    <row r="581" ht="15.75" customHeight="1">
      <c r="D581" s="38"/>
      <c r="E581" s="38"/>
      <c r="F581" s="38"/>
      <c r="G581" s="38"/>
      <c r="H581" s="38"/>
      <c r="I581" s="38"/>
      <c r="J581" s="38"/>
      <c r="K581" s="38"/>
      <c r="L581" s="55"/>
      <c r="M581" s="38"/>
      <c r="N581" s="38"/>
      <c r="O581" s="38"/>
      <c r="P581" s="38"/>
    </row>
    <row r="582" ht="15.75" customHeight="1">
      <c r="D582" s="38"/>
      <c r="E582" s="38"/>
      <c r="F582" s="38"/>
      <c r="G582" s="38"/>
      <c r="H582" s="38"/>
      <c r="I582" s="38"/>
      <c r="J582" s="38"/>
      <c r="K582" s="38"/>
      <c r="L582" s="55"/>
      <c r="M582" s="38"/>
      <c r="N582" s="38"/>
      <c r="O582" s="38"/>
      <c r="P582" s="38"/>
    </row>
    <row r="583" ht="15.75" customHeight="1">
      <c r="D583" s="38"/>
      <c r="E583" s="38"/>
      <c r="F583" s="38"/>
      <c r="G583" s="38"/>
      <c r="H583" s="38"/>
      <c r="I583" s="38"/>
      <c r="J583" s="38"/>
      <c r="K583" s="38"/>
      <c r="L583" s="55"/>
      <c r="M583" s="38"/>
      <c r="N583" s="38"/>
      <c r="O583" s="38"/>
      <c r="P583" s="38"/>
    </row>
    <row r="584" ht="15.75" customHeight="1">
      <c r="D584" s="38"/>
      <c r="E584" s="38"/>
      <c r="F584" s="38"/>
      <c r="G584" s="38"/>
      <c r="H584" s="38"/>
      <c r="I584" s="38"/>
      <c r="J584" s="38"/>
      <c r="K584" s="38"/>
      <c r="L584" s="55"/>
      <c r="M584" s="38"/>
      <c r="N584" s="38"/>
      <c r="O584" s="38"/>
      <c r="P584" s="38"/>
    </row>
    <row r="585" ht="15.75" customHeight="1">
      <c r="D585" s="38"/>
      <c r="E585" s="38"/>
      <c r="F585" s="38"/>
      <c r="G585" s="38"/>
      <c r="H585" s="38"/>
      <c r="I585" s="38"/>
      <c r="J585" s="38"/>
      <c r="K585" s="38"/>
      <c r="L585" s="55"/>
      <c r="M585" s="38"/>
      <c r="N585" s="38"/>
      <c r="O585" s="38"/>
      <c r="P585" s="38"/>
    </row>
    <row r="586" ht="15.75" customHeight="1">
      <c r="D586" s="38"/>
      <c r="E586" s="38"/>
      <c r="F586" s="38"/>
      <c r="G586" s="38"/>
      <c r="H586" s="38"/>
      <c r="I586" s="38"/>
      <c r="J586" s="38"/>
      <c r="K586" s="38"/>
      <c r="L586" s="55"/>
      <c r="M586" s="38"/>
      <c r="N586" s="38"/>
      <c r="O586" s="38"/>
      <c r="P586" s="38"/>
    </row>
    <row r="587" ht="15.75" customHeight="1">
      <c r="D587" s="38"/>
      <c r="E587" s="38"/>
      <c r="F587" s="38"/>
      <c r="G587" s="38"/>
      <c r="H587" s="38"/>
      <c r="I587" s="38"/>
      <c r="J587" s="38"/>
      <c r="K587" s="38"/>
      <c r="L587" s="55"/>
      <c r="M587" s="38"/>
      <c r="N587" s="38"/>
      <c r="O587" s="38"/>
      <c r="P587" s="38"/>
    </row>
    <row r="588" ht="15.75" customHeight="1">
      <c r="D588" s="38"/>
      <c r="E588" s="38"/>
      <c r="F588" s="38"/>
      <c r="G588" s="38"/>
      <c r="H588" s="38"/>
      <c r="I588" s="38"/>
      <c r="J588" s="38"/>
      <c r="K588" s="38"/>
      <c r="L588" s="55"/>
      <c r="M588" s="38"/>
      <c r="N588" s="38"/>
      <c r="O588" s="38"/>
      <c r="P588" s="38"/>
    </row>
    <row r="589" ht="15.75" customHeight="1">
      <c r="D589" s="38"/>
      <c r="E589" s="38"/>
      <c r="F589" s="38"/>
      <c r="G589" s="38"/>
      <c r="H589" s="38"/>
      <c r="I589" s="38"/>
      <c r="J589" s="38"/>
      <c r="K589" s="38"/>
      <c r="L589" s="55"/>
      <c r="M589" s="38"/>
      <c r="N589" s="38"/>
      <c r="O589" s="38"/>
      <c r="P589" s="38"/>
    </row>
    <row r="590" ht="15.75" customHeight="1">
      <c r="D590" s="38"/>
      <c r="E590" s="38"/>
      <c r="F590" s="38"/>
      <c r="G590" s="38"/>
      <c r="H590" s="38"/>
      <c r="I590" s="38"/>
      <c r="J590" s="38"/>
      <c r="K590" s="38"/>
      <c r="L590" s="55"/>
      <c r="M590" s="38"/>
      <c r="N590" s="38"/>
      <c r="O590" s="38"/>
      <c r="P590" s="38"/>
    </row>
    <row r="591" ht="15.75" customHeight="1">
      <c r="D591" s="38"/>
      <c r="E591" s="38"/>
      <c r="F591" s="38"/>
      <c r="G591" s="38"/>
      <c r="H591" s="38"/>
      <c r="I591" s="38"/>
      <c r="J591" s="38"/>
      <c r="K591" s="38"/>
      <c r="L591" s="55"/>
      <c r="M591" s="38"/>
      <c r="N591" s="38"/>
      <c r="O591" s="38"/>
      <c r="P591" s="38"/>
    </row>
    <row r="592" ht="15.75" customHeight="1">
      <c r="D592" s="38"/>
      <c r="E592" s="38"/>
      <c r="F592" s="38"/>
      <c r="G592" s="38"/>
      <c r="H592" s="38"/>
      <c r="I592" s="38"/>
      <c r="J592" s="38"/>
      <c r="K592" s="38"/>
      <c r="L592" s="55"/>
      <c r="M592" s="38"/>
      <c r="N592" s="38"/>
      <c r="O592" s="38"/>
      <c r="P592" s="38"/>
    </row>
    <row r="593" ht="15.75" customHeight="1">
      <c r="D593" s="38"/>
      <c r="E593" s="38"/>
      <c r="F593" s="38"/>
      <c r="G593" s="38"/>
      <c r="H593" s="38"/>
      <c r="I593" s="38"/>
      <c r="J593" s="38"/>
      <c r="K593" s="38"/>
      <c r="L593" s="55"/>
      <c r="M593" s="38"/>
      <c r="N593" s="38"/>
      <c r="O593" s="38"/>
      <c r="P593" s="38"/>
    </row>
    <row r="594" ht="15.75" customHeight="1">
      <c r="D594" s="38"/>
      <c r="E594" s="38"/>
      <c r="F594" s="38"/>
      <c r="G594" s="38"/>
      <c r="H594" s="38"/>
      <c r="I594" s="38"/>
      <c r="J594" s="38"/>
      <c r="K594" s="38"/>
      <c r="L594" s="55"/>
      <c r="M594" s="38"/>
      <c r="N594" s="38"/>
      <c r="O594" s="38"/>
      <c r="P594" s="38"/>
    </row>
    <row r="595" ht="15.75" customHeight="1">
      <c r="D595" s="38"/>
      <c r="E595" s="38"/>
      <c r="F595" s="38"/>
      <c r="G595" s="38"/>
      <c r="H595" s="38"/>
      <c r="I595" s="38"/>
      <c r="J595" s="38"/>
      <c r="K595" s="38"/>
      <c r="L595" s="55"/>
      <c r="M595" s="38"/>
      <c r="N595" s="38"/>
      <c r="O595" s="38"/>
      <c r="P595" s="38"/>
    </row>
    <row r="596" ht="15.75" customHeight="1">
      <c r="D596" s="38"/>
      <c r="E596" s="38"/>
      <c r="F596" s="38"/>
      <c r="G596" s="38"/>
      <c r="H596" s="38"/>
      <c r="I596" s="38"/>
      <c r="J596" s="38"/>
      <c r="K596" s="38"/>
      <c r="L596" s="55"/>
      <c r="M596" s="38"/>
      <c r="N596" s="38"/>
      <c r="O596" s="38"/>
      <c r="P596" s="38"/>
    </row>
    <row r="597" ht="15.75" customHeight="1">
      <c r="D597" s="38"/>
      <c r="E597" s="38"/>
      <c r="F597" s="38"/>
      <c r="G597" s="38"/>
      <c r="H597" s="38"/>
      <c r="I597" s="38"/>
      <c r="J597" s="38"/>
      <c r="K597" s="38"/>
      <c r="L597" s="55"/>
      <c r="M597" s="38"/>
      <c r="N597" s="38"/>
      <c r="O597" s="38"/>
      <c r="P597" s="38"/>
    </row>
    <row r="598" ht="15.75" customHeight="1">
      <c r="D598" s="38"/>
      <c r="E598" s="38"/>
      <c r="F598" s="38"/>
      <c r="G598" s="38"/>
      <c r="H598" s="38"/>
      <c r="I598" s="38"/>
      <c r="J598" s="38"/>
      <c r="K598" s="38"/>
      <c r="L598" s="55"/>
      <c r="M598" s="38"/>
      <c r="N598" s="38"/>
      <c r="O598" s="38"/>
      <c r="P598" s="38"/>
    </row>
    <row r="599" ht="15.75" customHeight="1">
      <c r="D599" s="38"/>
      <c r="E599" s="38"/>
      <c r="F599" s="38"/>
      <c r="G599" s="38"/>
      <c r="H599" s="38"/>
      <c r="I599" s="38"/>
      <c r="J599" s="38"/>
      <c r="K599" s="38"/>
      <c r="L599" s="55"/>
      <c r="M599" s="38"/>
      <c r="N599" s="38"/>
      <c r="O599" s="38"/>
      <c r="P599" s="38"/>
    </row>
    <row r="600" ht="15.75" customHeight="1">
      <c r="D600" s="38"/>
      <c r="E600" s="38"/>
      <c r="F600" s="38"/>
      <c r="G600" s="38"/>
      <c r="H600" s="38"/>
      <c r="I600" s="38"/>
      <c r="J600" s="38"/>
      <c r="K600" s="38"/>
      <c r="L600" s="55"/>
      <c r="M600" s="38"/>
      <c r="N600" s="38"/>
      <c r="O600" s="38"/>
      <c r="P600" s="38"/>
    </row>
    <row r="601" ht="15.75" customHeight="1">
      <c r="D601" s="38"/>
      <c r="E601" s="38"/>
      <c r="F601" s="38"/>
      <c r="G601" s="38"/>
      <c r="H601" s="38"/>
      <c r="I601" s="38"/>
      <c r="J601" s="38"/>
      <c r="K601" s="38"/>
      <c r="L601" s="55"/>
      <c r="M601" s="38"/>
      <c r="N601" s="38"/>
      <c r="O601" s="38"/>
      <c r="P601" s="38"/>
    </row>
    <row r="602" ht="15.75" customHeight="1">
      <c r="D602" s="38"/>
      <c r="E602" s="38"/>
      <c r="F602" s="38"/>
      <c r="G602" s="38"/>
      <c r="H602" s="38"/>
      <c r="I602" s="38"/>
      <c r="J602" s="38"/>
      <c r="K602" s="38"/>
      <c r="L602" s="55"/>
      <c r="M602" s="38"/>
      <c r="N602" s="38"/>
      <c r="O602" s="38"/>
      <c r="P602" s="38"/>
    </row>
    <row r="603" ht="15.75" customHeight="1">
      <c r="D603" s="38"/>
      <c r="E603" s="38"/>
      <c r="F603" s="38"/>
      <c r="G603" s="38"/>
      <c r="H603" s="38"/>
      <c r="I603" s="38"/>
      <c r="J603" s="38"/>
      <c r="K603" s="38"/>
      <c r="L603" s="55"/>
      <c r="M603" s="38"/>
      <c r="N603" s="38"/>
      <c r="O603" s="38"/>
      <c r="P603" s="38"/>
    </row>
    <row r="604" ht="15.75" customHeight="1">
      <c r="D604" s="38"/>
      <c r="E604" s="38"/>
      <c r="F604" s="38"/>
      <c r="G604" s="38"/>
      <c r="H604" s="38"/>
      <c r="I604" s="38"/>
      <c r="J604" s="38"/>
      <c r="K604" s="38"/>
      <c r="L604" s="55"/>
      <c r="M604" s="38"/>
      <c r="N604" s="38"/>
      <c r="O604" s="38"/>
      <c r="P604" s="38"/>
    </row>
    <row r="605" ht="15.75" customHeight="1">
      <c r="D605" s="38"/>
      <c r="E605" s="38"/>
      <c r="F605" s="38"/>
      <c r="G605" s="38"/>
      <c r="H605" s="38"/>
      <c r="I605" s="38"/>
      <c r="J605" s="38"/>
      <c r="K605" s="38"/>
      <c r="L605" s="55"/>
      <c r="M605" s="38"/>
      <c r="N605" s="38"/>
      <c r="O605" s="38"/>
      <c r="P605" s="38"/>
    </row>
    <row r="606" ht="15.75" customHeight="1">
      <c r="D606" s="38"/>
      <c r="E606" s="38"/>
      <c r="F606" s="38"/>
      <c r="G606" s="38"/>
      <c r="H606" s="38"/>
      <c r="I606" s="38"/>
      <c r="J606" s="38"/>
      <c r="K606" s="38"/>
      <c r="L606" s="55"/>
      <c r="M606" s="38"/>
      <c r="N606" s="38"/>
      <c r="O606" s="38"/>
      <c r="P606" s="38"/>
    </row>
    <row r="607" ht="15.75" customHeight="1">
      <c r="D607" s="38"/>
      <c r="E607" s="38"/>
      <c r="F607" s="38"/>
      <c r="G607" s="38"/>
      <c r="H607" s="38"/>
      <c r="I607" s="38"/>
      <c r="J607" s="38"/>
      <c r="K607" s="38"/>
      <c r="L607" s="55"/>
      <c r="M607" s="38"/>
      <c r="N607" s="38"/>
      <c r="O607" s="38"/>
      <c r="P607" s="38"/>
    </row>
    <row r="608" ht="15.75" customHeight="1">
      <c r="D608" s="38"/>
      <c r="E608" s="38"/>
      <c r="F608" s="38"/>
      <c r="G608" s="38"/>
      <c r="H608" s="38"/>
      <c r="I608" s="38"/>
      <c r="J608" s="38"/>
      <c r="K608" s="38"/>
      <c r="L608" s="55"/>
      <c r="M608" s="38"/>
      <c r="N608" s="38"/>
      <c r="O608" s="38"/>
      <c r="P608" s="38"/>
    </row>
    <row r="609" ht="15.75" customHeight="1">
      <c r="D609" s="38"/>
      <c r="E609" s="38"/>
      <c r="F609" s="38"/>
      <c r="G609" s="38"/>
      <c r="H609" s="38"/>
      <c r="I609" s="38"/>
      <c r="J609" s="38"/>
      <c r="K609" s="38"/>
      <c r="L609" s="55"/>
      <c r="M609" s="38"/>
      <c r="N609" s="38"/>
      <c r="O609" s="38"/>
      <c r="P609" s="38"/>
    </row>
    <row r="610" ht="15.75" customHeight="1">
      <c r="D610" s="38"/>
      <c r="E610" s="38"/>
      <c r="F610" s="38"/>
      <c r="G610" s="38"/>
      <c r="H610" s="38"/>
      <c r="I610" s="38"/>
      <c r="J610" s="38"/>
      <c r="K610" s="38"/>
      <c r="L610" s="55"/>
      <c r="M610" s="38"/>
      <c r="N610" s="38"/>
      <c r="O610" s="38"/>
      <c r="P610" s="38"/>
    </row>
    <row r="611" ht="15.75" customHeight="1">
      <c r="D611" s="38"/>
      <c r="E611" s="38"/>
      <c r="F611" s="38"/>
      <c r="G611" s="38"/>
      <c r="H611" s="38"/>
      <c r="I611" s="38"/>
      <c r="J611" s="38"/>
      <c r="K611" s="38"/>
      <c r="L611" s="55"/>
      <c r="M611" s="38"/>
      <c r="N611" s="38"/>
      <c r="O611" s="38"/>
      <c r="P611" s="38"/>
    </row>
    <row r="612" ht="15.75" customHeight="1">
      <c r="D612" s="38"/>
      <c r="E612" s="38"/>
      <c r="F612" s="38"/>
      <c r="G612" s="38"/>
      <c r="H612" s="38"/>
      <c r="I612" s="38"/>
      <c r="J612" s="38"/>
      <c r="K612" s="38"/>
      <c r="L612" s="55"/>
      <c r="M612" s="38"/>
      <c r="N612" s="38"/>
      <c r="O612" s="38"/>
      <c r="P612" s="38"/>
    </row>
    <row r="613" ht="15.75" customHeight="1">
      <c r="D613" s="38"/>
      <c r="E613" s="38"/>
      <c r="F613" s="38"/>
      <c r="G613" s="38"/>
      <c r="H613" s="38"/>
      <c r="I613" s="38"/>
      <c r="J613" s="38"/>
      <c r="K613" s="38"/>
      <c r="L613" s="55"/>
      <c r="M613" s="38"/>
      <c r="N613" s="38"/>
      <c r="O613" s="38"/>
      <c r="P613" s="38"/>
    </row>
    <row r="614" ht="15.75" customHeight="1">
      <c r="D614" s="38"/>
      <c r="E614" s="38"/>
      <c r="F614" s="38"/>
      <c r="G614" s="38"/>
      <c r="H614" s="38"/>
      <c r="I614" s="38"/>
      <c r="J614" s="38"/>
      <c r="K614" s="38"/>
      <c r="L614" s="55"/>
      <c r="M614" s="38"/>
      <c r="N614" s="38"/>
      <c r="O614" s="38"/>
      <c r="P614" s="38"/>
    </row>
    <row r="615" ht="15.75" customHeight="1">
      <c r="D615" s="38"/>
      <c r="E615" s="38"/>
      <c r="F615" s="38"/>
      <c r="G615" s="38"/>
      <c r="H615" s="38"/>
      <c r="I615" s="38"/>
      <c r="J615" s="38"/>
      <c r="K615" s="38"/>
      <c r="L615" s="55"/>
      <c r="M615" s="38"/>
      <c r="N615" s="38"/>
      <c r="O615" s="38"/>
      <c r="P615" s="38"/>
    </row>
    <row r="616" ht="15.75" customHeight="1">
      <c r="D616" s="38"/>
      <c r="E616" s="38"/>
      <c r="F616" s="38"/>
      <c r="G616" s="38"/>
      <c r="H616" s="38"/>
      <c r="I616" s="38"/>
      <c r="J616" s="38"/>
      <c r="K616" s="38"/>
      <c r="L616" s="55"/>
      <c r="M616" s="38"/>
      <c r="N616" s="38"/>
      <c r="O616" s="38"/>
      <c r="P616" s="38"/>
    </row>
    <row r="617" ht="15.75" customHeight="1">
      <c r="D617" s="38"/>
      <c r="E617" s="38"/>
      <c r="F617" s="38"/>
      <c r="G617" s="38"/>
      <c r="H617" s="38"/>
      <c r="I617" s="38"/>
      <c r="J617" s="38"/>
      <c r="K617" s="38"/>
      <c r="L617" s="55"/>
      <c r="M617" s="38"/>
      <c r="N617" s="38"/>
      <c r="O617" s="38"/>
      <c r="P617" s="38"/>
    </row>
    <row r="618" ht="15.75" customHeight="1">
      <c r="D618" s="38"/>
      <c r="E618" s="38"/>
      <c r="F618" s="38"/>
      <c r="G618" s="38"/>
      <c r="H618" s="38"/>
      <c r="I618" s="38"/>
      <c r="J618" s="38"/>
      <c r="K618" s="38"/>
      <c r="L618" s="55"/>
      <c r="M618" s="38"/>
      <c r="N618" s="38"/>
      <c r="O618" s="38"/>
      <c r="P618" s="38"/>
    </row>
    <row r="619" ht="15.75" customHeight="1">
      <c r="D619" s="38"/>
      <c r="E619" s="38"/>
      <c r="F619" s="38"/>
      <c r="G619" s="38"/>
      <c r="H619" s="38"/>
      <c r="I619" s="38"/>
      <c r="J619" s="38"/>
      <c r="K619" s="38"/>
      <c r="L619" s="55"/>
      <c r="M619" s="38"/>
      <c r="N619" s="38"/>
      <c r="O619" s="38"/>
      <c r="P619" s="38"/>
    </row>
    <row r="620" ht="15.75" customHeight="1">
      <c r="D620" s="38"/>
      <c r="E620" s="38"/>
      <c r="F620" s="38"/>
      <c r="G620" s="38"/>
      <c r="H620" s="38"/>
      <c r="I620" s="38"/>
      <c r="J620" s="38"/>
      <c r="K620" s="38"/>
      <c r="L620" s="55"/>
      <c r="M620" s="38"/>
      <c r="N620" s="38"/>
      <c r="O620" s="38"/>
      <c r="P620" s="38"/>
    </row>
    <row r="621" ht="15.75" customHeight="1">
      <c r="D621" s="38"/>
      <c r="E621" s="38"/>
      <c r="F621" s="38"/>
      <c r="G621" s="38"/>
      <c r="H621" s="38"/>
      <c r="I621" s="38"/>
      <c r="J621" s="38"/>
      <c r="K621" s="38"/>
      <c r="L621" s="55"/>
      <c r="M621" s="38"/>
      <c r="N621" s="38"/>
      <c r="O621" s="38"/>
      <c r="P621" s="38"/>
    </row>
    <row r="622" ht="15.75" customHeight="1">
      <c r="D622" s="38"/>
      <c r="E622" s="38"/>
      <c r="F622" s="38"/>
      <c r="G622" s="38"/>
      <c r="H622" s="38"/>
      <c r="I622" s="38"/>
      <c r="J622" s="38"/>
      <c r="K622" s="38"/>
      <c r="L622" s="55"/>
      <c r="M622" s="38"/>
      <c r="N622" s="38"/>
      <c r="O622" s="38"/>
      <c r="P622" s="38"/>
    </row>
    <row r="623" ht="15.75" customHeight="1">
      <c r="D623" s="38"/>
      <c r="E623" s="38"/>
      <c r="F623" s="38"/>
      <c r="G623" s="38"/>
      <c r="H623" s="38"/>
      <c r="I623" s="38"/>
      <c r="J623" s="38"/>
      <c r="K623" s="38"/>
      <c r="L623" s="55"/>
      <c r="M623" s="38"/>
      <c r="N623" s="38"/>
      <c r="O623" s="38"/>
      <c r="P623" s="38"/>
    </row>
    <row r="624" ht="15.75" customHeight="1">
      <c r="D624" s="38"/>
      <c r="E624" s="38"/>
      <c r="F624" s="38"/>
      <c r="G624" s="38"/>
      <c r="H624" s="38"/>
      <c r="I624" s="38"/>
      <c r="J624" s="38"/>
      <c r="K624" s="38"/>
      <c r="L624" s="55"/>
      <c r="M624" s="38"/>
      <c r="N624" s="38"/>
      <c r="O624" s="38"/>
      <c r="P624" s="38"/>
    </row>
    <row r="625" ht="15.75" customHeight="1">
      <c r="D625" s="38"/>
      <c r="E625" s="38"/>
      <c r="F625" s="38"/>
      <c r="G625" s="38"/>
      <c r="H625" s="38"/>
      <c r="I625" s="38"/>
      <c r="J625" s="38"/>
      <c r="K625" s="38"/>
      <c r="L625" s="55"/>
      <c r="M625" s="38"/>
      <c r="N625" s="38"/>
      <c r="O625" s="38"/>
      <c r="P625" s="38"/>
    </row>
    <row r="626" ht="15.75" customHeight="1">
      <c r="D626" s="38"/>
      <c r="E626" s="38"/>
      <c r="F626" s="38"/>
      <c r="G626" s="38"/>
      <c r="H626" s="38"/>
      <c r="I626" s="38"/>
      <c r="J626" s="38"/>
      <c r="K626" s="38"/>
      <c r="L626" s="55"/>
      <c r="M626" s="38"/>
      <c r="N626" s="38"/>
      <c r="O626" s="38"/>
      <c r="P626" s="38"/>
    </row>
    <row r="627" ht="15.75" customHeight="1">
      <c r="D627" s="38"/>
      <c r="E627" s="38"/>
      <c r="F627" s="38"/>
      <c r="G627" s="38"/>
      <c r="H627" s="38"/>
      <c r="I627" s="38"/>
      <c r="J627" s="38"/>
      <c r="K627" s="38"/>
      <c r="L627" s="55"/>
      <c r="M627" s="38"/>
      <c r="N627" s="38"/>
      <c r="O627" s="38"/>
      <c r="P627" s="38"/>
    </row>
    <row r="628" ht="15.75" customHeight="1">
      <c r="D628" s="38"/>
      <c r="E628" s="38"/>
      <c r="F628" s="38"/>
      <c r="G628" s="38"/>
      <c r="H628" s="38"/>
      <c r="I628" s="38"/>
      <c r="J628" s="38"/>
      <c r="K628" s="38"/>
      <c r="L628" s="55"/>
      <c r="M628" s="38"/>
      <c r="N628" s="38"/>
      <c r="O628" s="38"/>
      <c r="P628" s="38"/>
    </row>
    <row r="629" ht="15.75" customHeight="1">
      <c r="D629" s="38"/>
      <c r="E629" s="38"/>
      <c r="F629" s="38"/>
      <c r="G629" s="38"/>
      <c r="H629" s="38"/>
      <c r="I629" s="38"/>
      <c r="J629" s="38"/>
      <c r="K629" s="38"/>
      <c r="L629" s="55"/>
      <c r="M629" s="38"/>
      <c r="N629" s="38"/>
      <c r="O629" s="38"/>
      <c r="P629" s="38"/>
    </row>
    <row r="630" ht="15.75" customHeight="1">
      <c r="D630" s="38"/>
      <c r="E630" s="38"/>
      <c r="F630" s="38"/>
      <c r="G630" s="38"/>
      <c r="H630" s="38"/>
      <c r="I630" s="38"/>
      <c r="J630" s="38"/>
      <c r="K630" s="38"/>
      <c r="L630" s="55"/>
      <c r="M630" s="38"/>
      <c r="N630" s="38"/>
      <c r="O630" s="38"/>
      <c r="P630" s="38"/>
    </row>
    <row r="631" ht="15.75" customHeight="1">
      <c r="D631" s="38"/>
      <c r="E631" s="38"/>
      <c r="F631" s="38"/>
      <c r="G631" s="38"/>
      <c r="H631" s="38"/>
      <c r="I631" s="38"/>
      <c r="J631" s="38"/>
      <c r="K631" s="38"/>
      <c r="L631" s="55"/>
      <c r="M631" s="38"/>
      <c r="N631" s="38"/>
      <c r="O631" s="38"/>
      <c r="P631" s="38"/>
    </row>
    <row r="632" ht="15.75" customHeight="1">
      <c r="D632" s="38"/>
      <c r="E632" s="38"/>
      <c r="F632" s="38"/>
      <c r="G632" s="38"/>
      <c r="H632" s="38"/>
      <c r="I632" s="38"/>
      <c r="J632" s="38"/>
      <c r="K632" s="38"/>
      <c r="L632" s="55"/>
      <c r="M632" s="38"/>
      <c r="N632" s="38"/>
      <c r="O632" s="38"/>
      <c r="P632" s="38"/>
    </row>
    <row r="633" ht="15.75" customHeight="1">
      <c r="D633" s="38"/>
      <c r="E633" s="38"/>
      <c r="F633" s="38"/>
      <c r="G633" s="38"/>
      <c r="H633" s="38"/>
      <c r="I633" s="38"/>
      <c r="J633" s="38"/>
      <c r="K633" s="38"/>
      <c r="L633" s="55"/>
      <c r="M633" s="38"/>
      <c r="N633" s="38"/>
      <c r="O633" s="38"/>
      <c r="P633" s="38"/>
    </row>
    <row r="634" ht="15.75" customHeight="1">
      <c r="D634" s="38"/>
      <c r="E634" s="38"/>
      <c r="F634" s="38"/>
      <c r="G634" s="38"/>
      <c r="H634" s="38"/>
      <c r="I634" s="38"/>
      <c r="J634" s="38"/>
      <c r="K634" s="38"/>
      <c r="L634" s="55"/>
      <c r="M634" s="38"/>
      <c r="N634" s="38"/>
      <c r="O634" s="38"/>
      <c r="P634" s="38"/>
    </row>
    <row r="635" ht="15.75" customHeight="1">
      <c r="D635" s="38"/>
      <c r="E635" s="38"/>
      <c r="F635" s="38"/>
      <c r="G635" s="38"/>
      <c r="H635" s="38"/>
      <c r="I635" s="38"/>
      <c r="J635" s="38"/>
      <c r="K635" s="38"/>
      <c r="L635" s="55"/>
      <c r="M635" s="38"/>
      <c r="N635" s="38"/>
      <c r="O635" s="38"/>
      <c r="P635" s="38"/>
    </row>
    <row r="636" ht="15.75" customHeight="1">
      <c r="D636" s="38"/>
      <c r="E636" s="38"/>
      <c r="F636" s="38"/>
      <c r="G636" s="38"/>
      <c r="H636" s="38"/>
      <c r="I636" s="38"/>
      <c r="J636" s="38"/>
      <c r="K636" s="38"/>
      <c r="L636" s="55"/>
      <c r="M636" s="38"/>
      <c r="N636" s="38"/>
      <c r="O636" s="38"/>
      <c r="P636" s="38"/>
    </row>
    <row r="637" ht="15.75" customHeight="1">
      <c r="D637" s="38"/>
      <c r="E637" s="38"/>
      <c r="F637" s="38"/>
      <c r="G637" s="38"/>
      <c r="H637" s="38"/>
      <c r="I637" s="38"/>
      <c r="J637" s="38"/>
      <c r="K637" s="38"/>
      <c r="L637" s="55"/>
      <c r="M637" s="38"/>
      <c r="N637" s="38"/>
      <c r="O637" s="38"/>
      <c r="P637" s="38"/>
    </row>
    <row r="638" ht="15.75" customHeight="1">
      <c r="D638" s="38"/>
      <c r="E638" s="38"/>
      <c r="F638" s="38"/>
      <c r="G638" s="38"/>
      <c r="H638" s="38"/>
      <c r="I638" s="38"/>
      <c r="J638" s="38"/>
      <c r="K638" s="38"/>
      <c r="L638" s="55"/>
      <c r="M638" s="38"/>
      <c r="N638" s="38"/>
      <c r="O638" s="38"/>
      <c r="P638" s="38"/>
    </row>
    <row r="639" ht="15.75" customHeight="1">
      <c r="D639" s="38"/>
      <c r="E639" s="38"/>
      <c r="F639" s="38"/>
      <c r="G639" s="38"/>
      <c r="H639" s="38"/>
      <c r="I639" s="38"/>
      <c r="J639" s="38"/>
      <c r="K639" s="38"/>
      <c r="L639" s="55"/>
      <c r="M639" s="38"/>
      <c r="N639" s="38"/>
      <c r="O639" s="38"/>
      <c r="P639" s="38"/>
    </row>
    <row r="640" ht="15.75" customHeight="1">
      <c r="D640" s="38"/>
      <c r="E640" s="38"/>
      <c r="F640" s="38"/>
      <c r="G640" s="38"/>
      <c r="H640" s="38"/>
      <c r="I640" s="38"/>
      <c r="J640" s="38"/>
      <c r="K640" s="38"/>
      <c r="L640" s="55"/>
      <c r="M640" s="38"/>
      <c r="N640" s="38"/>
      <c r="O640" s="38"/>
      <c r="P640" s="38"/>
    </row>
    <row r="641" ht="15.75" customHeight="1">
      <c r="D641" s="38"/>
      <c r="E641" s="38"/>
      <c r="F641" s="38"/>
      <c r="G641" s="38"/>
      <c r="H641" s="38"/>
      <c r="I641" s="38"/>
      <c r="J641" s="38"/>
      <c r="K641" s="38"/>
      <c r="L641" s="55"/>
      <c r="M641" s="38"/>
      <c r="N641" s="38"/>
      <c r="O641" s="38"/>
      <c r="P641" s="38"/>
    </row>
    <row r="642" ht="15.75" customHeight="1">
      <c r="D642" s="38"/>
      <c r="E642" s="38"/>
      <c r="F642" s="38"/>
      <c r="G642" s="38"/>
      <c r="H642" s="38"/>
      <c r="I642" s="38"/>
      <c r="J642" s="38"/>
      <c r="K642" s="38"/>
      <c r="L642" s="55"/>
      <c r="M642" s="38"/>
      <c r="N642" s="38"/>
      <c r="O642" s="38"/>
      <c r="P642" s="38"/>
    </row>
    <row r="643" ht="15.75" customHeight="1">
      <c r="D643" s="38"/>
      <c r="E643" s="38"/>
      <c r="F643" s="38"/>
      <c r="G643" s="38"/>
      <c r="H643" s="38"/>
      <c r="I643" s="38"/>
      <c r="J643" s="38"/>
      <c r="K643" s="38"/>
      <c r="L643" s="55"/>
      <c r="M643" s="38"/>
      <c r="N643" s="38"/>
      <c r="O643" s="38"/>
      <c r="P643" s="38"/>
    </row>
    <row r="644" ht="15.75" customHeight="1">
      <c r="D644" s="38"/>
      <c r="E644" s="38"/>
      <c r="F644" s="38"/>
      <c r="G644" s="38"/>
      <c r="H644" s="38"/>
      <c r="I644" s="38"/>
      <c r="J644" s="38"/>
      <c r="K644" s="38"/>
      <c r="L644" s="55"/>
      <c r="M644" s="38"/>
      <c r="N644" s="38"/>
      <c r="O644" s="38"/>
      <c r="P644" s="38"/>
    </row>
    <row r="645" ht="15.75" customHeight="1">
      <c r="D645" s="38"/>
      <c r="E645" s="38"/>
      <c r="F645" s="38"/>
      <c r="G645" s="38"/>
      <c r="H645" s="38"/>
      <c r="I645" s="38"/>
      <c r="J645" s="38"/>
      <c r="K645" s="38"/>
      <c r="L645" s="55"/>
      <c r="M645" s="38"/>
      <c r="N645" s="38"/>
      <c r="O645" s="38"/>
      <c r="P645" s="38"/>
    </row>
    <row r="646" ht="15.75" customHeight="1">
      <c r="D646" s="38"/>
      <c r="E646" s="38"/>
      <c r="F646" s="38"/>
      <c r="G646" s="38"/>
      <c r="H646" s="38"/>
      <c r="I646" s="38"/>
      <c r="J646" s="38"/>
      <c r="K646" s="38"/>
      <c r="L646" s="55"/>
      <c r="M646" s="38"/>
      <c r="N646" s="38"/>
      <c r="O646" s="38"/>
      <c r="P646" s="38"/>
    </row>
    <row r="647" ht="15.75" customHeight="1">
      <c r="D647" s="38"/>
      <c r="E647" s="38"/>
      <c r="F647" s="38"/>
      <c r="G647" s="38"/>
      <c r="H647" s="38"/>
      <c r="I647" s="38"/>
      <c r="J647" s="38"/>
      <c r="K647" s="38"/>
      <c r="L647" s="55"/>
      <c r="M647" s="38"/>
      <c r="N647" s="38"/>
      <c r="O647" s="38"/>
      <c r="P647" s="38"/>
    </row>
    <row r="648" ht="15.75" customHeight="1">
      <c r="D648" s="38"/>
      <c r="E648" s="38"/>
      <c r="F648" s="38"/>
      <c r="G648" s="38"/>
      <c r="H648" s="38"/>
      <c r="I648" s="38"/>
      <c r="J648" s="38"/>
      <c r="K648" s="38"/>
      <c r="L648" s="55"/>
      <c r="M648" s="38"/>
      <c r="N648" s="38"/>
      <c r="O648" s="38"/>
      <c r="P648" s="38"/>
    </row>
    <row r="649" ht="15.75" customHeight="1">
      <c r="D649" s="38"/>
      <c r="E649" s="38"/>
      <c r="F649" s="38"/>
      <c r="G649" s="38"/>
      <c r="H649" s="38"/>
      <c r="I649" s="38"/>
      <c r="J649" s="38"/>
      <c r="K649" s="38"/>
      <c r="L649" s="55"/>
      <c r="M649" s="38"/>
      <c r="N649" s="38"/>
      <c r="O649" s="38"/>
      <c r="P649" s="38"/>
    </row>
    <row r="650" ht="15.75" customHeight="1">
      <c r="D650" s="38"/>
      <c r="E650" s="38"/>
      <c r="F650" s="38"/>
      <c r="G650" s="38"/>
      <c r="H650" s="38"/>
      <c r="I650" s="38"/>
      <c r="J650" s="38"/>
      <c r="K650" s="38"/>
      <c r="L650" s="55"/>
      <c r="M650" s="38"/>
      <c r="N650" s="38"/>
      <c r="O650" s="38"/>
      <c r="P650" s="38"/>
    </row>
    <row r="651" ht="15.75" customHeight="1">
      <c r="D651" s="38"/>
      <c r="E651" s="38"/>
      <c r="F651" s="38"/>
      <c r="G651" s="38"/>
      <c r="H651" s="38"/>
      <c r="I651" s="38"/>
      <c r="J651" s="38"/>
      <c r="K651" s="38"/>
      <c r="L651" s="55"/>
      <c r="M651" s="38"/>
      <c r="N651" s="38"/>
      <c r="O651" s="38"/>
      <c r="P651" s="38"/>
    </row>
    <row r="652" ht="15.75" customHeight="1">
      <c r="D652" s="38"/>
      <c r="E652" s="38"/>
      <c r="F652" s="38"/>
      <c r="G652" s="38"/>
      <c r="H652" s="38"/>
      <c r="I652" s="38"/>
      <c r="J652" s="38"/>
      <c r="K652" s="38"/>
      <c r="L652" s="55"/>
      <c r="M652" s="38"/>
      <c r="N652" s="38"/>
      <c r="O652" s="38"/>
      <c r="P652" s="38"/>
    </row>
    <row r="653" ht="15.75" customHeight="1">
      <c r="D653" s="38"/>
      <c r="E653" s="38"/>
      <c r="F653" s="38"/>
      <c r="G653" s="38"/>
      <c r="H653" s="38"/>
      <c r="I653" s="38"/>
      <c r="J653" s="38"/>
      <c r="K653" s="38"/>
      <c r="L653" s="55"/>
      <c r="M653" s="38"/>
      <c r="N653" s="38"/>
      <c r="O653" s="38"/>
      <c r="P653" s="38"/>
    </row>
    <row r="654" ht="15.75" customHeight="1">
      <c r="D654" s="38"/>
      <c r="E654" s="38"/>
      <c r="F654" s="38"/>
      <c r="G654" s="38"/>
      <c r="H654" s="38"/>
      <c r="I654" s="38"/>
      <c r="J654" s="38"/>
      <c r="K654" s="38"/>
      <c r="L654" s="55"/>
      <c r="M654" s="38"/>
      <c r="N654" s="38"/>
      <c r="O654" s="38"/>
      <c r="P654" s="38"/>
    </row>
    <row r="655" ht="15.75" customHeight="1">
      <c r="D655" s="38"/>
      <c r="E655" s="38"/>
      <c r="F655" s="38"/>
      <c r="G655" s="38"/>
      <c r="H655" s="38"/>
      <c r="I655" s="38"/>
      <c r="J655" s="38"/>
      <c r="K655" s="38"/>
      <c r="L655" s="55"/>
      <c r="M655" s="38"/>
      <c r="N655" s="38"/>
      <c r="O655" s="38"/>
      <c r="P655" s="38"/>
    </row>
    <row r="656" ht="15.75" customHeight="1">
      <c r="D656" s="38"/>
      <c r="E656" s="38"/>
      <c r="F656" s="38"/>
      <c r="G656" s="38"/>
      <c r="H656" s="38"/>
      <c r="I656" s="38"/>
      <c r="J656" s="38"/>
      <c r="K656" s="38"/>
      <c r="L656" s="55"/>
      <c r="M656" s="38"/>
      <c r="N656" s="38"/>
      <c r="O656" s="38"/>
      <c r="P656" s="38"/>
    </row>
    <row r="657" ht="15.75" customHeight="1">
      <c r="D657" s="38"/>
      <c r="E657" s="38"/>
      <c r="F657" s="38"/>
      <c r="G657" s="38"/>
      <c r="H657" s="38"/>
      <c r="I657" s="38"/>
      <c r="J657" s="38"/>
      <c r="K657" s="38"/>
      <c r="L657" s="55"/>
      <c r="M657" s="38"/>
      <c r="N657" s="38"/>
      <c r="O657" s="38"/>
      <c r="P657" s="38"/>
    </row>
    <row r="658" ht="15.75" customHeight="1">
      <c r="D658" s="38"/>
      <c r="E658" s="38"/>
      <c r="F658" s="38"/>
      <c r="G658" s="38"/>
      <c r="H658" s="38"/>
      <c r="I658" s="38"/>
      <c r="J658" s="38"/>
      <c r="K658" s="38"/>
      <c r="L658" s="55"/>
      <c r="M658" s="38"/>
      <c r="N658" s="38"/>
      <c r="O658" s="38"/>
      <c r="P658" s="38"/>
    </row>
    <row r="659" ht="15.75" customHeight="1">
      <c r="D659" s="38"/>
      <c r="E659" s="38"/>
      <c r="F659" s="38"/>
      <c r="G659" s="38"/>
      <c r="H659" s="38"/>
      <c r="I659" s="38"/>
      <c r="J659" s="38"/>
      <c r="K659" s="38"/>
      <c r="L659" s="55"/>
      <c r="M659" s="38"/>
      <c r="N659" s="38"/>
      <c r="O659" s="38"/>
      <c r="P659" s="38"/>
    </row>
    <row r="660" ht="15.75" customHeight="1">
      <c r="D660" s="38"/>
      <c r="E660" s="38"/>
      <c r="F660" s="38"/>
      <c r="G660" s="38"/>
      <c r="H660" s="38"/>
      <c r="I660" s="38"/>
      <c r="J660" s="38"/>
      <c r="K660" s="38"/>
      <c r="L660" s="55"/>
      <c r="M660" s="38"/>
      <c r="N660" s="38"/>
      <c r="O660" s="38"/>
      <c r="P660" s="38"/>
    </row>
    <row r="661" ht="15.75" customHeight="1">
      <c r="D661" s="38"/>
      <c r="E661" s="38"/>
      <c r="F661" s="38"/>
      <c r="G661" s="38"/>
      <c r="H661" s="38"/>
      <c r="I661" s="38"/>
      <c r="J661" s="38"/>
      <c r="K661" s="38"/>
      <c r="L661" s="55"/>
      <c r="M661" s="38"/>
      <c r="N661" s="38"/>
      <c r="O661" s="38"/>
      <c r="P661" s="38"/>
    </row>
    <row r="662" ht="15.75" customHeight="1">
      <c r="D662" s="38"/>
      <c r="E662" s="38"/>
      <c r="F662" s="38"/>
      <c r="G662" s="38"/>
      <c r="H662" s="38"/>
      <c r="I662" s="38"/>
      <c r="J662" s="38"/>
      <c r="K662" s="38"/>
      <c r="L662" s="55"/>
      <c r="M662" s="38"/>
      <c r="N662" s="38"/>
      <c r="O662" s="38"/>
      <c r="P662" s="38"/>
    </row>
    <row r="663" ht="15.75" customHeight="1">
      <c r="D663" s="38"/>
      <c r="E663" s="38"/>
      <c r="F663" s="38"/>
      <c r="G663" s="38"/>
      <c r="H663" s="38"/>
      <c r="I663" s="38"/>
      <c r="J663" s="38"/>
      <c r="K663" s="38"/>
      <c r="L663" s="55"/>
      <c r="M663" s="38"/>
      <c r="N663" s="38"/>
      <c r="O663" s="38"/>
      <c r="P663" s="38"/>
    </row>
    <row r="664" ht="15.75" customHeight="1">
      <c r="D664" s="38"/>
      <c r="E664" s="38"/>
      <c r="F664" s="38"/>
      <c r="G664" s="38"/>
      <c r="H664" s="38"/>
      <c r="I664" s="38"/>
      <c r="J664" s="38"/>
      <c r="K664" s="38"/>
      <c r="L664" s="55"/>
      <c r="M664" s="38"/>
      <c r="N664" s="38"/>
      <c r="O664" s="38"/>
      <c r="P664" s="38"/>
    </row>
    <row r="665" ht="15.75" customHeight="1">
      <c r="D665" s="38"/>
      <c r="E665" s="38"/>
      <c r="F665" s="38"/>
      <c r="G665" s="38"/>
      <c r="H665" s="38"/>
      <c r="I665" s="38"/>
      <c r="J665" s="38"/>
      <c r="K665" s="38"/>
      <c r="L665" s="55"/>
      <c r="M665" s="38"/>
      <c r="N665" s="38"/>
      <c r="O665" s="38"/>
      <c r="P665" s="38"/>
    </row>
    <row r="666" ht="15.75" customHeight="1">
      <c r="D666" s="38"/>
      <c r="E666" s="38"/>
      <c r="F666" s="38"/>
      <c r="G666" s="38"/>
      <c r="H666" s="38"/>
      <c r="I666" s="38"/>
      <c r="J666" s="38"/>
      <c r="K666" s="38"/>
      <c r="L666" s="55"/>
      <c r="M666" s="38"/>
      <c r="N666" s="38"/>
      <c r="O666" s="38"/>
      <c r="P666" s="38"/>
    </row>
    <row r="667" ht="15.75" customHeight="1">
      <c r="D667" s="38"/>
      <c r="E667" s="38"/>
      <c r="F667" s="38"/>
      <c r="G667" s="38"/>
      <c r="H667" s="38"/>
      <c r="I667" s="38"/>
      <c r="J667" s="38"/>
      <c r="K667" s="38"/>
      <c r="L667" s="55"/>
      <c r="M667" s="38"/>
      <c r="N667" s="38"/>
      <c r="O667" s="38"/>
      <c r="P667" s="38"/>
    </row>
    <row r="668" ht="15.75" customHeight="1">
      <c r="D668" s="38"/>
      <c r="E668" s="38"/>
      <c r="F668" s="38"/>
      <c r="G668" s="38"/>
      <c r="H668" s="38"/>
      <c r="I668" s="38"/>
      <c r="J668" s="38"/>
      <c r="K668" s="38"/>
      <c r="L668" s="55"/>
      <c r="M668" s="38"/>
      <c r="N668" s="38"/>
      <c r="O668" s="38"/>
      <c r="P668" s="38"/>
    </row>
    <row r="669" ht="15.75" customHeight="1">
      <c r="D669" s="38"/>
      <c r="E669" s="38"/>
      <c r="F669" s="38"/>
      <c r="G669" s="38"/>
      <c r="H669" s="38"/>
      <c r="I669" s="38"/>
      <c r="J669" s="38"/>
      <c r="K669" s="38"/>
      <c r="L669" s="55"/>
      <c r="M669" s="38"/>
      <c r="N669" s="38"/>
      <c r="O669" s="38"/>
      <c r="P669" s="38"/>
    </row>
    <row r="670" ht="15.75" customHeight="1">
      <c r="D670" s="38"/>
      <c r="E670" s="38"/>
      <c r="F670" s="38"/>
      <c r="G670" s="38"/>
      <c r="H670" s="38"/>
      <c r="I670" s="38"/>
      <c r="J670" s="38"/>
      <c r="K670" s="38"/>
      <c r="L670" s="55"/>
      <c r="M670" s="38"/>
      <c r="N670" s="38"/>
      <c r="O670" s="38"/>
      <c r="P670" s="38"/>
    </row>
    <row r="671" ht="15.75" customHeight="1">
      <c r="D671" s="38"/>
      <c r="E671" s="38"/>
      <c r="F671" s="38"/>
      <c r="G671" s="38"/>
      <c r="H671" s="38"/>
      <c r="I671" s="38"/>
      <c r="J671" s="38"/>
      <c r="K671" s="38"/>
      <c r="L671" s="55"/>
      <c r="M671" s="38"/>
      <c r="N671" s="38"/>
      <c r="O671" s="38"/>
      <c r="P671" s="38"/>
    </row>
    <row r="672" ht="15.75" customHeight="1">
      <c r="D672" s="38"/>
      <c r="E672" s="38"/>
      <c r="F672" s="38"/>
      <c r="G672" s="38"/>
      <c r="H672" s="38"/>
      <c r="I672" s="38"/>
      <c r="J672" s="38"/>
      <c r="K672" s="38"/>
      <c r="L672" s="55"/>
      <c r="M672" s="38"/>
      <c r="N672" s="38"/>
      <c r="O672" s="38"/>
      <c r="P672" s="38"/>
    </row>
    <row r="673" ht="15.75" customHeight="1">
      <c r="D673" s="38"/>
      <c r="E673" s="38"/>
      <c r="F673" s="38"/>
      <c r="G673" s="38"/>
      <c r="H673" s="38"/>
      <c r="I673" s="38"/>
      <c r="J673" s="38"/>
      <c r="K673" s="38"/>
      <c r="L673" s="55"/>
      <c r="M673" s="38"/>
      <c r="N673" s="38"/>
      <c r="O673" s="38"/>
      <c r="P673" s="38"/>
    </row>
    <row r="674" ht="15.75" customHeight="1">
      <c r="D674" s="38"/>
      <c r="E674" s="38"/>
      <c r="F674" s="38"/>
      <c r="G674" s="38"/>
      <c r="H674" s="38"/>
      <c r="I674" s="38"/>
      <c r="J674" s="38"/>
      <c r="K674" s="38"/>
      <c r="L674" s="55"/>
      <c r="M674" s="38"/>
      <c r="N674" s="38"/>
      <c r="O674" s="38"/>
      <c r="P674" s="38"/>
    </row>
    <row r="675" ht="15.75" customHeight="1">
      <c r="D675" s="38"/>
      <c r="E675" s="38"/>
      <c r="F675" s="38"/>
      <c r="G675" s="38"/>
      <c r="H675" s="38"/>
      <c r="I675" s="38"/>
      <c r="J675" s="38"/>
      <c r="K675" s="38"/>
      <c r="L675" s="55"/>
      <c r="M675" s="38"/>
      <c r="N675" s="38"/>
      <c r="O675" s="38"/>
      <c r="P675" s="38"/>
    </row>
    <row r="676" ht="15.75" customHeight="1">
      <c r="D676" s="38"/>
      <c r="E676" s="38"/>
      <c r="F676" s="38"/>
      <c r="G676" s="38"/>
      <c r="H676" s="38"/>
      <c r="I676" s="38"/>
      <c r="J676" s="38"/>
      <c r="K676" s="38"/>
      <c r="L676" s="55"/>
      <c r="M676" s="38"/>
      <c r="N676" s="38"/>
      <c r="O676" s="38"/>
      <c r="P676" s="38"/>
    </row>
    <row r="677" ht="15.75" customHeight="1">
      <c r="D677" s="38"/>
      <c r="E677" s="38"/>
      <c r="F677" s="38"/>
      <c r="G677" s="38"/>
      <c r="H677" s="38"/>
      <c r="I677" s="38"/>
      <c r="J677" s="38"/>
      <c r="K677" s="38"/>
      <c r="L677" s="55"/>
      <c r="M677" s="38"/>
      <c r="N677" s="38"/>
      <c r="O677" s="38"/>
      <c r="P677" s="38"/>
    </row>
    <row r="678" ht="15.75" customHeight="1">
      <c r="D678" s="38"/>
      <c r="E678" s="38"/>
      <c r="F678" s="38"/>
      <c r="G678" s="38"/>
      <c r="H678" s="38"/>
      <c r="I678" s="38"/>
      <c r="J678" s="38"/>
      <c r="K678" s="38"/>
      <c r="L678" s="55"/>
      <c r="M678" s="38"/>
      <c r="N678" s="38"/>
      <c r="O678" s="38"/>
      <c r="P678" s="38"/>
    </row>
    <row r="679" ht="15.75" customHeight="1">
      <c r="D679" s="38"/>
      <c r="E679" s="38"/>
      <c r="F679" s="38"/>
      <c r="G679" s="38"/>
      <c r="H679" s="38"/>
      <c r="I679" s="38"/>
      <c r="J679" s="38"/>
      <c r="K679" s="38"/>
      <c r="L679" s="55"/>
      <c r="M679" s="38"/>
      <c r="N679" s="38"/>
      <c r="O679" s="38"/>
      <c r="P679" s="38"/>
    </row>
    <row r="680" ht="15.75" customHeight="1">
      <c r="D680" s="38"/>
      <c r="E680" s="38"/>
      <c r="F680" s="38"/>
      <c r="G680" s="38"/>
      <c r="H680" s="38"/>
      <c r="I680" s="38"/>
      <c r="J680" s="38"/>
      <c r="K680" s="38"/>
      <c r="L680" s="55"/>
      <c r="M680" s="38"/>
      <c r="N680" s="38"/>
      <c r="O680" s="38"/>
      <c r="P680" s="38"/>
    </row>
    <row r="681" ht="15.75" customHeight="1">
      <c r="D681" s="38"/>
      <c r="E681" s="38"/>
      <c r="F681" s="38"/>
      <c r="G681" s="38"/>
      <c r="H681" s="38"/>
      <c r="I681" s="38"/>
      <c r="J681" s="38"/>
      <c r="K681" s="38"/>
      <c r="L681" s="55"/>
      <c r="M681" s="38"/>
      <c r="N681" s="38"/>
      <c r="O681" s="38"/>
      <c r="P681" s="38"/>
    </row>
    <row r="682" ht="15.75" customHeight="1">
      <c r="D682" s="38"/>
      <c r="E682" s="38"/>
      <c r="F682" s="38"/>
      <c r="G682" s="38"/>
      <c r="H682" s="38"/>
      <c r="I682" s="38"/>
      <c r="J682" s="38"/>
      <c r="K682" s="38"/>
      <c r="L682" s="55"/>
      <c r="M682" s="38"/>
      <c r="N682" s="38"/>
      <c r="O682" s="38"/>
      <c r="P682" s="38"/>
    </row>
    <row r="683" ht="15.75" customHeight="1">
      <c r="D683" s="38"/>
      <c r="E683" s="38"/>
      <c r="F683" s="38"/>
      <c r="G683" s="38"/>
      <c r="H683" s="38"/>
      <c r="I683" s="38"/>
      <c r="J683" s="38"/>
      <c r="K683" s="38"/>
      <c r="L683" s="55"/>
      <c r="M683" s="38"/>
      <c r="N683" s="38"/>
      <c r="O683" s="38"/>
      <c r="P683" s="38"/>
    </row>
    <row r="684" ht="15.75" customHeight="1">
      <c r="D684" s="38"/>
      <c r="E684" s="38"/>
      <c r="F684" s="38"/>
      <c r="G684" s="38"/>
      <c r="H684" s="38"/>
      <c r="I684" s="38"/>
      <c r="J684" s="38"/>
      <c r="K684" s="38"/>
      <c r="L684" s="55"/>
      <c r="M684" s="38"/>
      <c r="N684" s="38"/>
      <c r="O684" s="38"/>
      <c r="P684" s="38"/>
    </row>
    <row r="685" ht="15.75" customHeight="1">
      <c r="D685" s="38"/>
      <c r="E685" s="38"/>
      <c r="F685" s="38"/>
      <c r="G685" s="38"/>
      <c r="H685" s="38"/>
      <c r="I685" s="38"/>
      <c r="J685" s="38"/>
      <c r="K685" s="38"/>
      <c r="L685" s="55"/>
      <c r="M685" s="38"/>
      <c r="N685" s="38"/>
      <c r="O685" s="38"/>
      <c r="P685" s="38"/>
    </row>
    <row r="686" ht="15.75" customHeight="1">
      <c r="D686" s="38"/>
      <c r="E686" s="38"/>
      <c r="F686" s="38"/>
      <c r="G686" s="38"/>
      <c r="H686" s="38"/>
      <c r="I686" s="38"/>
      <c r="J686" s="38"/>
      <c r="K686" s="38"/>
      <c r="L686" s="55"/>
      <c r="M686" s="38"/>
      <c r="N686" s="38"/>
      <c r="O686" s="38"/>
      <c r="P686" s="38"/>
    </row>
    <row r="687" ht="15.75" customHeight="1">
      <c r="D687" s="38"/>
      <c r="E687" s="38"/>
      <c r="F687" s="38"/>
      <c r="G687" s="38"/>
      <c r="H687" s="38"/>
      <c r="I687" s="38"/>
      <c r="J687" s="38"/>
      <c r="K687" s="38"/>
      <c r="L687" s="55"/>
      <c r="M687" s="38"/>
      <c r="N687" s="38"/>
      <c r="O687" s="38"/>
      <c r="P687" s="38"/>
    </row>
    <row r="688" ht="15.75" customHeight="1">
      <c r="D688" s="38"/>
      <c r="E688" s="38"/>
      <c r="F688" s="38"/>
      <c r="G688" s="38"/>
      <c r="H688" s="38"/>
      <c r="I688" s="38"/>
      <c r="J688" s="38"/>
      <c r="K688" s="38"/>
      <c r="L688" s="55"/>
      <c r="M688" s="38"/>
      <c r="N688" s="38"/>
      <c r="O688" s="38"/>
      <c r="P688" s="38"/>
    </row>
    <row r="689" ht="15.75" customHeight="1">
      <c r="D689" s="38"/>
      <c r="E689" s="38"/>
      <c r="F689" s="38"/>
      <c r="G689" s="38"/>
      <c r="H689" s="38"/>
      <c r="I689" s="38"/>
      <c r="J689" s="38"/>
      <c r="K689" s="38"/>
      <c r="L689" s="55"/>
      <c r="M689" s="38"/>
      <c r="N689" s="38"/>
      <c r="O689" s="38"/>
      <c r="P689" s="38"/>
    </row>
    <row r="690" ht="15.75" customHeight="1">
      <c r="D690" s="38"/>
      <c r="E690" s="38"/>
      <c r="F690" s="38"/>
      <c r="G690" s="38"/>
      <c r="H690" s="38"/>
      <c r="I690" s="38"/>
      <c r="J690" s="38"/>
      <c r="K690" s="38"/>
      <c r="L690" s="55"/>
      <c r="M690" s="38"/>
      <c r="N690" s="38"/>
      <c r="O690" s="38"/>
      <c r="P690" s="38"/>
    </row>
    <row r="691" ht="15.75" customHeight="1">
      <c r="D691" s="38"/>
      <c r="E691" s="38"/>
      <c r="F691" s="38"/>
      <c r="G691" s="38"/>
      <c r="H691" s="38"/>
      <c r="I691" s="38"/>
      <c r="J691" s="38"/>
      <c r="K691" s="38"/>
      <c r="L691" s="55"/>
      <c r="M691" s="38"/>
      <c r="N691" s="38"/>
      <c r="O691" s="38"/>
      <c r="P691" s="38"/>
    </row>
    <row r="692" ht="15.75" customHeight="1">
      <c r="D692" s="38"/>
      <c r="E692" s="38"/>
      <c r="F692" s="38"/>
      <c r="G692" s="38"/>
      <c r="H692" s="38"/>
      <c r="I692" s="38"/>
      <c r="J692" s="38"/>
      <c r="K692" s="38"/>
      <c r="L692" s="55"/>
      <c r="M692" s="38"/>
      <c r="N692" s="38"/>
      <c r="O692" s="38"/>
      <c r="P692" s="38"/>
    </row>
    <row r="693" ht="15.75" customHeight="1">
      <c r="D693" s="38"/>
      <c r="E693" s="38"/>
      <c r="F693" s="38"/>
      <c r="G693" s="38"/>
      <c r="H693" s="38"/>
      <c r="I693" s="38"/>
      <c r="J693" s="38"/>
      <c r="K693" s="38"/>
      <c r="L693" s="55"/>
      <c r="M693" s="38"/>
      <c r="N693" s="38"/>
      <c r="O693" s="38"/>
      <c r="P693" s="38"/>
    </row>
    <row r="694" ht="15.75" customHeight="1">
      <c r="D694" s="38"/>
      <c r="E694" s="38"/>
      <c r="F694" s="38"/>
      <c r="G694" s="38"/>
      <c r="H694" s="38"/>
      <c r="I694" s="38"/>
      <c r="J694" s="38"/>
      <c r="K694" s="38"/>
      <c r="L694" s="55"/>
      <c r="M694" s="38"/>
      <c r="N694" s="38"/>
      <c r="O694" s="38"/>
      <c r="P694" s="38"/>
    </row>
    <row r="695" ht="15.75" customHeight="1">
      <c r="D695" s="38"/>
      <c r="E695" s="38"/>
      <c r="F695" s="38"/>
      <c r="G695" s="38"/>
      <c r="H695" s="38"/>
      <c r="I695" s="38"/>
      <c r="J695" s="38"/>
      <c r="K695" s="38"/>
      <c r="L695" s="55"/>
      <c r="M695" s="38"/>
      <c r="N695" s="38"/>
      <c r="O695" s="38"/>
      <c r="P695" s="38"/>
    </row>
    <row r="696" ht="15.75" customHeight="1">
      <c r="D696" s="38"/>
      <c r="E696" s="38"/>
      <c r="F696" s="38"/>
      <c r="G696" s="38"/>
      <c r="H696" s="38"/>
      <c r="I696" s="38"/>
      <c r="J696" s="38"/>
      <c r="K696" s="38"/>
      <c r="L696" s="55"/>
      <c r="M696" s="38"/>
      <c r="N696" s="38"/>
      <c r="O696" s="38"/>
      <c r="P696" s="38"/>
    </row>
    <row r="697" ht="15.75" customHeight="1">
      <c r="D697" s="38"/>
      <c r="E697" s="38"/>
      <c r="F697" s="38"/>
      <c r="G697" s="38"/>
      <c r="H697" s="38"/>
      <c r="I697" s="38"/>
      <c r="J697" s="38"/>
      <c r="K697" s="38"/>
      <c r="L697" s="55"/>
      <c r="M697" s="38"/>
      <c r="N697" s="38"/>
      <c r="O697" s="38"/>
      <c r="P697" s="38"/>
    </row>
    <row r="698" ht="15.75" customHeight="1">
      <c r="D698" s="38"/>
      <c r="E698" s="38"/>
      <c r="F698" s="38"/>
      <c r="G698" s="38"/>
      <c r="H698" s="38"/>
      <c r="I698" s="38"/>
      <c r="J698" s="38"/>
      <c r="K698" s="38"/>
      <c r="L698" s="55"/>
      <c r="M698" s="38"/>
      <c r="N698" s="38"/>
      <c r="O698" s="38"/>
      <c r="P698" s="38"/>
    </row>
    <row r="699" ht="15.75" customHeight="1">
      <c r="D699" s="38"/>
      <c r="E699" s="38"/>
      <c r="F699" s="38"/>
      <c r="G699" s="38"/>
      <c r="H699" s="38"/>
      <c r="I699" s="38"/>
      <c r="J699" s="38"/>
      <c r="K699" s="38"/>
      <c r="L699" s="55"/>
      <c r="M699" s="38"/>
      <c r="N699" s="38"/>
      <c r="O699" s="38"/>
      <c r="P699" s="38"/>
    </row>
    <row r="700" ht="15.75" customHeight="1">
      <c r="D700" s="38"/>
      <c r="E700" s="38"/>
      <c r="F700" s="38"/>
      <c r="G700" s="38"/>
      <c r="H700" s="38"/>
      <c r="I700" s="38"/>
      <c r="J700" s="38"/>
      <c r="K700" s="38"/>
      <c r="L700" s="55"/>
      <c r="M700" s="38"/>
      <c r="N700" s="38"/>
      <c r="O700" s="38"/>
      <c r="P700" s="38"/>
    </row>
    <row r="701" ht="15.75" customHeight="1">
      <c r="D701" s="38"/>
      <c r="E701" s="38"/>
      <c r="F701" s="38"/>
      <c r="G701" s="38"/>
      <c r="H701" s="38"/>
      <c r="I701" s="38"/>
      <c r="J701" s="38"/>
      <c r="K701" s="38"/>
      <c r="L701" s="55"/>
      <c r="M701" s="38"/>
      <c r="N701" s="38"/>
      <c r="O701" s="38"/>
      <c r="P701" s="38"/>
    </row>
    <row r="702" ht="15.75" customHeight="1">
      <c r="D702" s="38"/>
      <c r="E702" s="38"/>
      <c r="F702" s="38"/>
      <c r="G702" s="38"/>
      <c r="H702" s="38"/>
      <c r="I702" s="38"/>
      <c r="J702" s="38"/>
      <c r="K702" s="38"/>
      <c r="L702" s="55"/>
      <c r="M702" s="38"/>
      <c r="N702" s="38"/>
      <c r="O702" s="38"/>
      <c r="P702" s="38"/>
    </row>
    <row r="703" ht="15.75" customHeight="1">
      <c r="D703" s="38"/>
      <c r="E703" s="38"/>
      <c r="F703" s="38"/>
      <c r="G703" s="38"/>
      <c r="H703" s="38"/>
      <c r="I703" s="38"/>
      <c r="J703" s="38"/>
      <c r="K703" s="38"/>
      <c r="L703" s="55"/>
      <c r="M703" s="38"/>
      <c r="N703" s="38"/>
      <c r="O703" s="38"/>
      <c r="P703" s="38"/>
    </row>
    <row r="704" ht="15.75" customHeight="1">
      <c r="D704" s="38"/>
      <c r="E704" s="38"/>
      <c r="F704" s="38"/>
      <c r="G704" s="38"/>
      <c r="H704" s="38"/>
      <c r="I704" s="38"/>
      <c r="J704" s="38"/>
      <c r="K704" s="38"/>
      <c r="L704" s="55"/>
      <c r="M704" s="38"/>
      <c r="N704" s="38"/>
      <c r="O704" s="38"/>
      <c r="P704" s="38"/>
    </row>
    <row r="705" ht="15.75" customHeight="1">
      <c r="D705" s="38"/>
      <c r="E705" s="38"/>
      <c r="F705" s="38"/>
      <c r="G705" s="38"/>
      <c r="H705" s="38"/>
      <c r="I705" s="38"/>
      <c r="J705" s="38"/>
      <c r="K705" s="38"/>
      <c r="L705" s="55"/>
      <c r="M705" s="38"/>
      <c r="N705" s="38"/>
      <c r="O705" s="38"/>
      <c r="P705" s="38"/>
    </row>
    <row r="706" ht="15.75" customHeight="1">
      <c r="D706" s="38"/>
      <c r="E706" s="38"/>
      <c r="F706" s="38"/>
      <c r="G706" s="38"/>
      <c r="H706" s="38"/>
      <c r="I706" s="38"/>
      <c r="J706" s="38"/>
      <c r="K706" s="38"/>
      <c r="L706" s="55"/>
      <c r="M706" s="38"/>
      <c r="N706" s="38"/>
      <c r="O706" s="38"/>
      <c r="P706" s="38"/>
    </row>
    <row r="707" ht="15.75" customHeight="1">
      <c r="D707" s="38"/>
      <c r="E707" s="38"/>
      <c r="F707" s="38"/>
      <c r="G707" s="38"/>
      <c r="H707" s="38"/>
      <c r="I707" s="38"/>
      <c r="J707" s="38"/>
      <c r="K707" s="38"/>
      <c r="L707" s="55"/>
      <c r="M707" s="38"/>
      <c r="N707" s="38"/>
      <c r="O707" s="38"/>
      <c r="P707" s="38"/>
    </row>
    <row r="708" ht="15.75" customHeight="1">
      <c r="D708" s="38"/>
      <c r="E708" s="38"/>
      <c r="F708" s="38"/>
      <c r="G708" s="38"/>
      <c r="H708" s="38"/>
      <c r="I708" s="38"/>
      <c r="J708" s="38"/>
      <c r="K708" s="38"/>
      <c r="L708" s="55"/>
      <c r="M708" s="38"/>
      <c r="N708" s="38"/>
      <c r="O708" s="38"/>
      <c r="P708" s="38"/>
    </row>
    <row r="709" ht="15.75" customHeight="1">
      <c r="D709" s="38"/>
      <c r="E709" s="38"/>
      <c r="F709" s="38"/>
      <c r="G709" s="38"/>
      <c r="H709" s="38"/>
      <c r="I709" s="38"/>
      <c r="J709" s="38"/>
      <c r="K709" s="38"/>
      <c r="L709" s="55"/>
      <c r="M709" s="38"/>
      <c r="N709" s="38"/>
      <c r="O709" s="38"/>
      <c r="P709" s="38"/>
    </row>
    <row r="710" ht="15.75" customHeight="1">
      <c r="D710" s="38"/>
      <c r="E710" s="38"/>
      <c r="F710" s="38"/>
      <c r="G710" s="38"/>
      <c r="H710" s="38"/>
      <c r="I710" s="38"/>
      <c r="J710" s="38"/>
      <c r="K710" s="38"/>
      <c r="L710" s="55"/>
      <c r="M710" s="38"/>
      <c r="N710" s="38"/>
      <c r="O710" s="38"/>
      <c r="P710" s="38"/>
    </row>
    <row r="711" ht="15.75" customHeight="1">
      <c r="D711" s="38"/>
      <c r="E711" s="38"/>
      <c r="F711" s="38"/>
      <c r="G711" s="38"/>
      <c r="H711" s="38"/>
      <c r="I711" s="38"/>
      <c r="J711" s="38"/>
      <c r="K711" s="38"/>
      <c r="L711" s="55"/>
      <c r="M711" s="38"/>
      <c r="N711" s="38"/>
      <c r="O711" s="38"/>
      <c r="P711" s="38"/>
    </row>
    <row r="712" ht="15.75" customHeight="1">
      <c r="D712" s="38"/>
      <c r="E712" s="38"/>
      <c r="F712" s="38"/>
      <c r="G712" s="38"/>
      <c r="H712" s="38"/>
      <c r="I712" s="38"/>
      <c r="J712" s="38"/>
      <c r="K712" s="38"/>
      <c r="L712" s="55"/>
      <c r="M712" s="38"/>
      <c r="N712" s="38"/>
      <c r="O712" s="38"/>
      <c r="P712" s="38"/>
    </row>
    <row r="713" ht="15.75" customHeight="1">
      <c r="D713" s="38"/>
      <c r="E713" s="38"/>
      <c r="F713" s="38"/>
      <c r="G713" s="38"/>
      <c r="H713" s="38"/>
      <c r="I713" s="38"/>
      <c r="J713" s="38"/>
      <c r="K713" s="38"/>
      <c r="L713" s="55"/>
      <c r="M713" s="38"/>
      <c r="N713" s="38"/>
      <c r="O713" s="38"/>
      <c r="P713" s="38"/>
    </row>
    <row r="714" ht="15.75" customHeight="1">
      <c r="D714" s="38"/>
      <c r="E714" s="38"/>
      <c r="F714" s="38"/>
      <c r="G714" s="38"/>
      <c r="H714" s="38"/>
      <c r="I714" s="38"/>
      <c r="J714" s="38"/>
      <c r="K714" s="38"/>
      <c r="L714" s="55"/>
      <c r="M714" s="38"/>
      <c r="N714" s="38"/>
      <c r="O714" s="38"/>
      <c r="P714" s="38"/>
    </row>
    <row r="715" ht="15.75" customHeight="1">
      <c r="D715" s="38"/>
      <c r="E715" s="38"/>
      <c r="F715" s="38"/>
      <c r="G715" s="38"/>
      <c r="H715" s="38"/>
      <c r="I715" s="38"/>
      <c r="J715" s="38"/>
      <c r="K715" s="38"/>
      <c r="L715" s="55"/>
      <c r="M715" s="38"/>
      <c r="N715" s="38"/>
      <c r="O715" s="38"/>
      <c r="P715" s="38"/>
    </row>
    <row r="716" ht="15.75" customHeight="1">
      <c r="D716" s="38"/>
      <c r="E716" s="38"/>
      <c r="F716" s="38"/>
      <c r="G716" s="38"/>
      <c r="H716" s="38"/>
      <c r="I716" s="38"/>
      <c r="J716" s="38"/>
      <c r="K716" s="38"/>
      <c r="L716" s="55"/>
      <c r="M716" s="38"/>
      <c r="N716" s="38"/>
      <c r="O716" s="38"/>
      <c r="P716" s="38"/>
    </row>
    <row r="717" ht="15.75" customHeight="1">
      <c r="D717" s="38"/>
      <c r="E717" s="38"/>
      <c r="F717" s="38"/>
      <c r="G717" s="38"/>
      <c r="H717" s="38"/>
      <c r="I717" s="38"/>
      <c r="J717" s="38"/>
      <c r="K717" s="38"/>
      <c r="L717" s="55"/>
      <c r="M717" s="38"/>
      <c r="N717" s="38"/>
      <c r="O717" s="38"/>
      <c r="P717" s="38"/>
    </row>
    <row r="718" ht="15.75" customHeight="1">
      <c r="D718" s="38"/>
      <c r="E718" s="38"/>
      <c r="F718" s="38"/>
      <c r="G718" s="38"/>
      <c r="H718" s="38"/>
      <c r="I718" s="38"/>
      <c r="J718" s="38"/>
      <c r="K718" s="38"/>
      <c r="L718" s="55"/>
      <c r="M718" s="38"/>
      <c r="N718" s="38"/>
      <c r="O718" s="38"/>
      <c r="P718" s="38"/>
    </row>
    <row r="719" ht="15.75" customHeight="1">
      <c r="D719" s="38"/>
      <c r="E719" s="38"/>
      <c r="F719" s="38"/>
      <c r="G719" s="38"/>
      <c r="H719" s="38"/>
      <c r="I719" s="38"/>
      <c r="J719" s="38"/>
      <c r="K719" s="38"/>
      <c r="L719" s="55"/>
      <c r="M719" s="38"/>
      <c r="N719" s="38"/>
      <c r="O719" s="38"/>
      <c r="P719" s="38"/>
    </row>
    <row r="720" ht="15.75" customHeight="1">
      <c r="D720" s="38"/>
      <c r="E720" s="38"/>
      <c r="F720" s="38"/>
      <c r="G720" s="38"/>
      <c r="H720" s="38"/>
      <c r="I720" s="38"/>
      <c r="J720" s="38"/>
      <c r="K720" s="38"/>
      <c r="L720" s="55"/>
      <c r="M720" s="38"/>
      <c r="N720" s="38"/>
      <c r="O720" s="38"/>
      <c r="P720" s="38"/>
    </row>
    <row r="721" ht="15.75" customHeight="1">
      <c r="D721" s="38"/>
      <c r="E721" s="38"/>
      <c r="F721" s="38"/>
      <c r="G721" s="38"/>
      <c r="H721" s="38"/>
      <c r="I721" s="38"/>
      <c r="J721" s="38"/>
      <c r="K721" s="38"/>
      <c r="L721" s="55"/>
      <c r="M721" s="38"/>
      <c r="N721" s="38"/>
      <c r="O721" s="38"/>
      <c r="P721" s="38"/>
    </row>
    <row r="722" ht="15.75" customHeight="1">
      <c r="D722" s="38"/>
      <c r="E722" s="38"/>
      <c r="F722" s="38"/>
      <c r="G722" s="38"/>
      <c r="H722" s="38"/>
      <c r="I722" s="38"/>
      <c r="J722" s="38"/>
      <c r="K722" s="38"/>
      <c r="L722" s="55"/>
      <c r="M722" s="38"/>
      <c r="N722" s="38"/>
      <c r="O722" s="38"/>
      <c r="P722" s="38"/>
    </row>
    <row r="723" ht="15.75" customHeight="1">
      <c r="D723" s="38"/>
      <c r="E723" s="38"/>
      <c r="F723" s="38"/>
      <c r="G723" s="38"/>
      <c r="H723" s="38"/>
      <c r="I723" s="38"/>
      <c r="J723" s="38"/>
      <c r="K723" s="38"/>
      <c r="L723" s="55"/>
      <c r="M723" s="38"/>
      <c r="N723" s="38"/>
      <c r="O723" s="38"/>
      <c r="P723" s="38"/>
    </row>
    <row r="724" ht="15.75" customHeight="1">
      <c r="D724" s="38"/>
      <c r="E724" s="38"/>
      <c r="F724" s="38"/>
      <c r="G724" s="38"/>
      <c r="H724" s="38"/>
      <c r="I724" s="38"/>
      <c r="J724" s="38"/>
      <c r="K724" s="38"/>
      <c r="L724" s="55"/>
      <c r="M724" s="38"/>
      <c r="N724" s="38"/>
      <c r="O724" s="38"/>
      <c r="P724" s="38"/>
    </row>
    <row r="725" ht="15.75" customHeight="1">
      <c r="D725" s="38"/>
      <c r="E725" s="38"/>
      <c r="F725" s="38"/>
      <c r="G725" s="38"/>
      <c r="H725" s="38"/>
      <c r="I725" s="38"/>
      <c r="J725" s="38"/>
      <c r="K725" s="38"/>
      <c r="L725" s="55"/>
      <c r="M725" s="38"/>
      <c r="N725" s="38"/>
      <c r="O725" s="38"/>
      <c r="P725" s="38"/>
    </row>
    <row r="726" ht="15.75" customHeight="1">
      <c r="D726" s="38"/>
      <c r="E726" s="38"/>
      <c r="F726" s="38"/>
      <c r="G726" s="38"/>
      <c r="H726" s="38"/>
      <c r="I726" s="38"/>
      <c r="J726" s="38"/>
      <c r="K726" s="38"/>
      <c r="L726" s="55"/>
      <c r="M726" s="38"/>
      <c r="N726" s="38"/>
      <c r="O726" s="38"/>
      <c r="P726" s="38"/>
    </row>
    <row r="727" ht="15.75" customHeight="1">
      <c r="D727" s="38"/>
      <c r="E727" s="38"/>
      <c r="F727" s="38"/>
      <c r="G727" s="38"/>
      <c r="H727" s="38"/>
      <c r="I727" s="38"/>
      <c r="J727" s="38"/>
      <c r="K727" s="38"/>
      <c r="L727" s="55"/>
      <c r="M727" s="38"/>
      <c r="N727" s="38"/>
      <c r="O727" s="38"/>
      <c r="P727" s="38"/>
    </row>
    <row r="728" ht="15.75" customHeight="1">
      <c r="D728" s="38"/>
      <c r="E728" s="38"/>
      <c r="F728" s="38"/>
      <c r="G728" s="38"/>
      <c r="H728" s="38"/>
      <c r="I728" s="38"/>
      <c r="J728" s="38"/>
      <c r="K728" s="38"/>
      <c r="L728" s="55"/>
      <c r="M728" s="38"/>
      <c r="N728" s="38"/>
      <c r="O728" s="38"/>
      <c r="P728" s="38"/>
    </row>
    <row r="729" ht="15.75" customHeight="1">
      <c r="D729" s="38"/>
      <c r="E729" s="38"/>
      <c r="F729" s="38"/>
      <c r="G729" s="38"/>
      <c r="H729" s="38"/>
      <c r="I729" s="38"/>
      <c r="J729" s="38"/>
      <c r="K729" s="38"/>
      <c r="L729" s="55"/>
      <c r="M729" s="38"/>
      <c r="N729" s="38"/>
      <c r="O729" s="38"/>
      <c r="P729" s="38"/>
    </row>
    <row r="730" ht="15.75" customHeight="1">
      <c r="D730" s="38"/>
      <c r="E730" s="38"/>
      <c r="F730" s="38"/>
      <c r="G730" s="38"/>
      <c r="H730" s="38"/>
      <c r="I730" s="38"/>
      <c r="J730" s="38"/>
      <c r="K730" s="38"/>
      <c r="L730" s="55"/>
      <c r="M730" s="38"/>
      <c r="N730" s="38"/>
      <c r="O730" s="38"/>
      <c r="P730" s="38"/>
    </row>
    <row r="731" ht="15.75" customHeight="1">
      <c r="D731" s="38"/>
      <c r="E731" s="38"/>
      <c r="F731" s="38"/>
      <c r="G731" s="38"/>
      <c r="H731" s="38"/>
      <c r="I731" s="38"/>
      <c r="J731" s="38"/>
      <c r="K731" s="38"/>
      <c r="L731" s="55"/>
      <c r="M731" s="38"/>
      <c r="N731" s="38"/>
      <c r="O731" s="38"/>
      <c r="P731" s="38"/>
    </row>
    <row r="732" ht="15.75" customHeight="1">
      <c r="D732" s="38"/>
      <c r="E732" s="38"/>
      <c r="F732" s="38"/>
      <c r="G732" s="38"/>
      <c r="H732" s="38"/>
      <c r="I732" s="38"/>
      <c r="J732" s="38"/>
      <c r="K732" s="38"/>
      <c r="L732" s="55"/>
      <c r="M732" s="38"/>
      <c r="N732" s="38"/>
      <c r="O732" s="38"/>
      <c r="P732" s="38"/>
    </row>
    <row r="733" ht="15.75" customHeight="1">
      <c r="D733" s="38"/>
      <c r="E733" s="38"/>
      <c r="F733" s="38"/>
      <c r="G733" s="38"/>
      <c r="H733" s="38"/>
      <c r="I733" s="38"/>
      <c r="J733" s="38"/>
      <c r="K733" s="38"/>
      <c r="L733" s="55"/>
      <c r="M733" s="38"/>
      <c r="N733" s="38"/>
      <c r="O733" s="38"/>
      <c r="P733" s="38"/>
    </row>
    <row r="734" ht="15.75" customHeight="1">
      <c r="D734" s="38"/>
      <c r="E734" s="38"/>
      <c r="F734" s="38"/>
      <c r="G734" s="38"/>
      <c r="H734" s="38"/>
      <c r="I734" s="38"/>
      <c r="J734" s="38"/>
      <c r="K734" s="38"/>
      <c r="L734" s="55"/>
      <c r="M734" s="38"/>
      <c r="N734" s="38"/>
      <c r="O734" s="38"/>
      <c r="P734" s="38"/>
    </row>
    <row r="735" ht="15.75" customHeight="1">
      <c r="D735" s="38"/>
      <c r="E735" s="38"/>
      <c r="F735" s="38"/>
      <c r="G735" s="38"/>
      <c r="H735" s="38"/>
      <c r="I735" s="38"/>
      <c r="J735" s="38"/>
      <c r="K735" s="38"/>
      <c r="L735" s="55"/>
      <c r="M735" s="38"/>
      <c r="N735" s="38"/>
      <c r="O735" s="38"/>
      <c r="P735" s="38"/>
    </row>
    <row r="736" ht="15.75" customHeight="1">
      <c r="D736" s="38"/>
      <c r="E736" s="38"/>
      <c r="F736" s="38"/>
      <c r="G736" s="38"/>
      <c r="H736" s="38"/>
      <c r="I736" s="38"/>
      <c r="J736" s="38"/>
      <c r="K736" s="38"/>
      <c r="L736" s="55"/>
      <c r="M736" s="38"/>
      <c r="N736" s="38"/>
      <c r="O736" s="38"/>
      <c r="P736" s="38"/>
    </row>
    <row r="737" ht="15.75" customHeight="1">
      <c r="D737" s="38"/>
      <c r="E737" s="38"/>
      <c r="F737" s="38"/>
      <c r="G737" s="38"/>
      <c r="H737" s="38"/>
      <c r="I737" s="38"/>
      <c r="J737" s="38"/>
      <c r="K737" s="38"/>
      <c r="L737" s="55"/>
      <c r="M737" s="38"/>
      <c r="N737" s="38"/>
      <c r="O737" s="38"/>
      <c r="P737" s="38"/>
    </row>
    <row r="738" ht="15.75" customHeight="1">
      <c r="D738" s="38"/>
      <c r="E738" s="38"/>
      <c r="F738" s="38"/>
      <c r="G738" s="38"/>
      <c r="H738" s="38"/>
      <c r="I738" s="38"/>
      <c r="J738" s="38"/>
      <c r="K738" s="38"/>
      <c r="L738" s="55"/>
      <c r="M738" s="38"/>
      <c r="N738" s="38"/>
      <c r="O738" s="38"/>
      <c r="P738" s="38"/>
    </row>
    <row r="739" ht="15.75" customHeight="1">
      <c r="D739" s="38"/>
      <c r="E739" s="38"/>
      <c r="F739" s="38"/>
      <c r="G739" s="38"/>
      <c r="H739" s="38"/>
      <c r="I739" s="38"/>
      <c r="J739" s="38"/>
      <c r="K739" s="38"/>
      <c r="L739" s="55"/>
      <c r="M739" s="38"/>
      <c r="N739" s="38"/>
      <c r="O739" s="38"/>
      <c r="P739" s="38"/>
    </row>
    <row r="740" ht="15.75" customHeight="1">
      <c r="D740" s="38"/>
      <c r="E740" s="38"/>
      <c r="F740" s="38"/>
      <c r="G740" s="38"/>
      <c r="H740" s="38"/>
      <c r="I740" s="38"/>
      <c r="J740" s="38"/>
      <c r="K740" s="38"/>
      <c r="L740" s="55"/>
      <c r="M740" s="38"/>
      <c r="N740" s="38"/>
      <c r="O740" s="38"/>
      <c r="P740" s="38"/>
    </row>
    <row r="741" ht="15.75" customHeight="1">
      <c r="D741" s="38"/>
      <c r="E741" s="38"/>
      <c r="F741" s="38"/>
      <c r="G741" s="38"/>
      <c r="H741" s="38"/>
      <c r="I741" s="38"/>
      <c r="J741" s="38"/>
      <c r="K741" s="38"/>
      <c r="L741" s="55"/>
      <c r="M741" s="38"/>
      <c r="N741" s="38"/>
      <c r="O741" s="38"/>
      <c r="P741" s="38"/>
    </row>
    <row r="742" ht="15.75" customHeight="1">
      <c r="D742" s="38"/>
      <c r="E742" s="38"/>
      <c r="F742" s="38"/>
      <c r="G742" s="38"/>
      <c r="H742" s="38"/>
      <c r="I742" s="38"/>
      <c r="J742" s="38"/>
      <c r="K742" s="38"/>
      <c r="L742" s="55"/>
      <c r="M742" s="38"/>
      <c r="N742" s="38"/>
      <c r="O742" s="38"/>
      <c r="P742" s="38"/>
    </row>
    <row r="743" ht="15.75" customHeight="1">
      <c r="D743" s="38"/>
      <c r="E743" s="38"/>
      <c r="F743" s="38"/>
      <c r="G743" s="38"/>
      <c r="H743" s="38"/>
      <c r="I743" s="38"/>
      <c r="J743" s="38"/>
      <c r="K743" s="38"/>
      <c r="L743" s="55"/>
      <c r="M743" s="38"/>
      <c r="N743" s="38"/>
      <c r="O743" s="38"/>
      <c r="P743" s="38"/>
    </row>
    <row r="744" ht="15.75" customHeight="1">
      <c r="D744" s="38"/>
      <c r="E744" s="38"/>
      <c r="F744" s="38"/>
      <c r="G744" s="38"/>
      <c r="H744" s="38"/>
      <c r="I744" s="38"/>
      <c r="J744" s="38"/>
      <c r="K744" s="38"/>
      <c r="L744" s="55"/>
      <c r="M744" s="38"/>
      <c r="N744" s="38"/>
      <c r="O744" s="38"/>
      <c r="P744" s="38"/>
    </row>
    <row r="745" ht="15.75" customHeight="1">
      <c r="D745" s="38"/>
      <c r="E745" s="38"/>
      <c r="F745" s="38"/>
      <c r="G745" s="38"/>
      <c r="H745" s="38"/>
      <c r="I745" s="38"/>
      <c r="J745" s="38"/>
      <c r="K745" s="38"/>
      <c r="L745" s="55"/>
      <c r="M745" s="38"/>
      <c r="N745" s="38"/>
      <c r="O745" s="38"/>
      <c r="P745" s="38"/>
    </row>
    <row r="746" ht="15.75" customHeight="1">
      <c r="D746" s="38"/>
      <c r="E746" s="38"/>
      <c r="F746" s="38"/>
      <c r="G746" s="38"/>
      <c r="H746" s="38"/>
      <c r="I746" s="38"/>
      <c r="J746" s="38"/>
      <c r="K746" s="38"/>
      <c r="L746" s="55"/>
      <c r="M746" s="38"/>
      <c r="N746" s="38"/>
      <c r="O746" s="38"/>
      <c r="P746" s="38"/>
    </row>
    <row r="747" ht="15.75" customHeight="1">
      <c r="D747" s="38"/>
      <c r="E747" s="38"/>
      <c r="F747" s="38"/>
      <c r="G747" s="38"/>
      <c r="H747" s="38"/>
      <c r="I747" s="38"/>
      <c r="J747" s="38"/>
      <c r="K747" s="38"/>
      <c r="L747" s="55"/>
      <c r="M747" s="38"/>
      <c r="N747" s="38"/>
      <c r="O747" s="38"/>
      <c r="P747" s="38"/>
    </row>
    <row r="748" ht="15.75" customHeight="1">
      <c r="D748" s="38"/>
      <c r="E748" s="38"/>
      <c r="F748" s="38"/>
      <c r="G748" s="38"/>
      <c r="H748" s="38"/>
      <c r="I748" s="38"/>
      <c r="J748" s="38"/>
      <c r="K748" s="38"/>
      <c r="L748" s="55"/>
      <c r="M748" s="38"/>
      <c r="N748" s="38"/>
      <c r="O748" s="38"/>
      <c r="P748" s="38"/>
    </row>
    <row r="749" ht="15.75" customHeight="1">
      <c r="D749" s="38"/>
      <c r="E749" s="38"/>
      <c r="F749" s="38"/>
      <c r="G749" s="38"/>
      <c r="H749" s="38"/>
      <c r="I749" s="38"/>
      <c r="J749" s="38"/>
      <c r="K749" s="38"/>
      <c r="L749" s="55"/>
      <c r="M749" s="38"/>
      <c r="N749" s="38"/>
      <c r="O749" s="38"/>
      <c r="P749" s="38"/>
    </row>
    <row r="750" ht="15.75" customHeight="1">
      <c r="D750" s="38"/>
      <c r="E750" s="38"/>
      <c r="F750" s="38"/>
      <c r="G750" s="38"/>
      <c r="H750" s="38"/>
      <c r="I750" s="38"/>
      <c r="J750" s="38"/>
      <c r="K750" s="38"/>
      <c r="L750" s="55"/>
      <c r="M750" s="38"/>
      <c r="N750" s="38"/>
      <c r="O750" s="38"/>
      <c r="P750" s="38"/>
    </row>
    <row r="751" ht="15.75" customHeight="1">
      <c r="D751" s="38"/>
      <c r="E751" s="38"/>
      <c r="F751" s="38"/>
      <c r="G751" s="38"/>
      <c r="H751" s="38"/>
      <c r="I751" s="38"/>
      <c r="J751" s="38"/>
      <c r="K751" s="38"/>
      <c r="L751" s="55"/>
      <c r="M751" s="38"/>
      <c r="N751" s="38"/>
      <c r="O751" s="38"/>
      <c r="P751" s="38"/>
    </row>
    <row r="752" ht="15.75" customHeight="1">
      <c r="D752" s="38"/>
      <c r="E752" s="38"/>
      <c r="F752" s="38"/>
      <c r="G752" s="38"/>
      <c r="H752" s="38"/>
      <c r="I752" s="38"/>
      <c r="J752" s="38"/>
      <c r="K752" s="38"/>
      <c r="L752" s="55"/>
      <c r="M752" s="38"/>
      <c r="N752" s="38"/>
      <c r="O752" s="38"/>
      <c r="P752" s="38"/>
    </row>
    <row r="753" ht="15.75" customHeight="1">
      <c r="D753" s="38"/>
      <c r="E753" s="38"/>
      <c r="F753" s="38"/>
      <c r="G753" s="38"/>
      <c r="H753" s="38"/>
      <c r="I753" s="38"/>
      <c r="J753" s="38"/>
      <c r="K753" s="38"/>
      <c r="L753" s="55"/>
      <c r="M753" s="38"/>
      <c r="N753" s="38"/>
      <c r="O753" s="38"/>
      <c r="P753" s="38"/>
    </row>
    <row r="754" ht="15.75" customHeight="1">
      <c r="D754" s="38"/>
      <c r="E754" s="38"/>
      <c r="F754" s="38"/>
      <c r="G754" s="38"/>
      <c r="H754" s="38"/>
      <c r="I754" s="38"/>
      <c r="J754" s="38"/>
      <c r="K754" s="38"/>
      <c r="L754" s="55"/>
      <c r="M754" s="38"/>
      <c r="N754" s="38"/>
      <c r="O754" s="38"/>
      <c r="P754" s="38"/>
    </row>
    <row r="755" ht="15.75" customHeight="1">
      <c r="D755" s="38"/>
      <c r="E755" s="38"/>
      <c r="F755" s="38"/>
      <c r="G755" s="38"/>
      <c r="H755" s="38"/>
      <c r="I755" s="38"/>
      <c r="J755" s="38"/>
      <c r="K755" s="38"/>
      <c r="L755" s="55"/>
      <c r="M755" s="38"/>
      <c r="N755" s="38"/>
      <c r="O755" s="38"/>
      <c r="P755" s="38"/>
    </row>
    <row r="756" ht="15.75" customHeight="1">
      <c r="D756" s="38"/>
      <c r="E756" s="38"/>
      <c r="F756" s="38"/>
      <c r="G756" s="38"/>
      <c r="H756" s="38"/>
      <c r="I756" s="38"/>
      <c r="J756" s="38"/>
      <c r="K756" s="38"/>
      <c r="L756" s="55"/>
      <c r="M756" s="38"/>
      <c r="N756" s="38"/>
      <c r="O756" s="38"/>
      <c r="P756" s="38"/>
    </row>
    <row r="757" ht="15.75" customHeight="1">
      <c r="D757" s="38"/>
      <c r="E757" s="38"/>
      <c r="F757" s="38"/>
      <c r="G757" s="38"/>
      <c r="H757" s="38"/>
      <c r="I757" s="38"/>
      <c r="J757" s="38"/>
      <c r="K757" s="38"/>
      <c r="L757" s="55"/>
      <c r="M757" s="38"/>
      <c r="N757" s="38"/>
      <c r="O757" s="38"/>
      <c r="P757" s="38"/>
    </row>
    <row r="758" ht="15.75" customHeight="1">
      <c r="D758" s="38"/>
      <c r="E758" s="38"/>
      <c r="F758" s="38"/>
      <c r="G758" s="38"/>
      <c r="H758" s="38"/>
      <c r="I758" s="38"/>
      <c r="J758" s="38"/>
      <c r="K758" s="38"/>
      <c r="L758" s="55"/>
      <c r="M758" s="38"/>
      <c r="N758" s="38"/>
      <c r="O758" s="38"/>
      <c r="P758" s="38"/>
    </row>
    <row r="759" ht="15.75" customHeight="1">
      <c r="D759" s="38"/>
      <c r="E759" s="38"/>
      <c r="F759" s="38"/>
      <c r="G759" s="38"/>
      <c r="H759" s="38"/>
      <c r="I759" s="38"/>
      <c r="J759" s="38"/>
      <c r="K759" s="38"/>
      <c r="L759" s="55"/>
      <c r="M759" s="38"/>
      <c r="N759" s="38"/>
      <c r="O759" s="38"/>
      <c r="P759" s="38"/>
    </row>
    <row r="760" ht="15.75" customHeight="1">
      <c r="D760" s="38"/>
      <c r="E760" s="38"/>
      <c r="F760" s="38"/>
      <c r="G760" s="38"/>
      <c r="H760" s="38"/>
      <c r="I760" s="38"/>
      <c r="J760" s="38"/>
      <c r="K760" s="38"/>
      <c r="L760" s="55"/>
      <c r="M760" s="38"/>
      <c r="N760" s="38"/>
      <c r="O760" s="38"/>
      <c r="P760" s="38"/>
    </row>
    <row r="761" ht="15.75" customHeight="1">
      <c r="D761" s="38"/>
      <c r="E761" s="38"/>
      <c r="F761" s="38"/>
      <c r="G761" s="38"/>
      <c r="H761" s="38"/>
      <c r="I761" s="38"/>
      <c r="J761" s="38"/>
      <c r="K761" s="38"/>
      <c r="L761" s="55"/>
      <c r="M761" s="38"/>
      <c r="N761" s="38"/>
      <c r="O761" s="38"/>
      <c r="P761" s="38"/>
    </row>
    <row r="762" ht="15.75" customHeight="1">
      <c r="D762" s="38"/>
      <c r="E762" s="38"/>
      <c r="F762" s="38"/>
      <c r="G762" s="38"/>
      <c r="H762" s="38"/>
      <c r="I762" s="38"/>
      <c r="J762" s="38"/>
      <c r="K762" s="38"/>
      <c r="L762" s="55"/>
      <c r="M762" s="38"/>
      <c r="N762" s="38"/>
      <c r="O762" s="38"/>
      <c r="P762" s="38"/>
    </row>
    <row r="763" ht="15.75" customHeight="1">
      <c r="D763" s="38"/>
      <c r="E763" s="38"/>
      <c r="F763" s="38"/>
      <c r="G763" s="38"/>
      <c r="H763" s="38"/>
      <c r="I763" s="38"/>
      <c r="J763" s="38"/>
      <c r="K763" s="38"/>
      <c r="L763" s="55"/>
      <c r="M763" s="38"/>
      <c r="N763" s="38"/>
      <c r="O763" s="38"/>
      <c r="P763" s="38"/>
    </row>
    <row r="764" ht="15.75" customHeight="1">
      <c r="D764" s="38"/>
      <c r="E764" s="38"/>
      <c r="F764" s="38"/>
      <c r="G764" s="38"/>
      <c r="H764" s="38"/>
      <c r="I764" s="38"/>
      <c r="J764" s="38"/>
      <c r="K764" s="38"/>
      <c r="L764" s="55"/>
      <c r="M764" s="38"/>
      <c r="N764" s="38"/>
      <c r="O764" s="38"/>
      <c r="P764" s="38"/>
    </row>
    <row r="765" ht="15.75" customHeight="1">
      <c r="D765" s="38"/>
      <c r="E765" s="38"/>
      <c r="F765" s="38"/>
      <c r="G765" s="38"/>
      <c r="H765" s="38"/>
      <c r="I765" s="38"/>
      <c r="J765" s="38"/>
      <c r="K765" s="38"/>
      <c r="L765" s="55"/>
      <c r="M765" s="38"/>
      <c r="N765" s="38"/>
      <c r="O765" s="38"/>
      <c r="P765" s="38"/>
    </row>
    <row r="766" ht="15.75" customHeight="1">
      <c r="D766" s="38"/>
      <c r="E766" s="38"/>
      <c r="F766" s="38"/>
      <c r="G766" s="38"/>
      <c r="H766" s="38"/>
      <c r="I766" s="38"/>
      <c r="J766" s="38"/>
      <c r="K766" s="38"/>
      <c r="L766" s="55"/>
      <c r="M766" s="38"/>
      <c r="N766" s="38"/>
      <c r="O766" s="38"/>
      <c r="P766" s="38"/>
    </row>
    <row r="767" ht="15.75" customHeight="1">
      <c r="D767" s="38"/>
      <c r="E767" s="38"/>
      <c r="F767" s="38"/>
      <c r="G767" s="38"/>
      <c r="H767" s="38"/>
      <c r="I767" s="38"/>
      <c r="J767" s="38"/>
      <c r="K767" s="38"/>
      <c r="L767" s="55"/>
      <c r="M767" s="38"/>
      <c r="N767" s="38"/>
      <c r="O767" s="38"/>
      <c r="P767" s="38"/>
    </row>
    <row r="768" ht="15.75" customHeight="1">
      <c r="D768" s="38"/>
      <c r="E768" s="38"/>
      <c r="F768" s="38"/>
      <c r="G768" s="38"/>
      <c r="H768" s="38"/>
      <c r="I768" s="38"/>
      <c r="J768" s="38"/>
      <c r="K768" s="38"/>
      <c r="L768" s="55"/>
      <c r="M768" s="38"/>
      <c r="N768" s="38"/>
      <c r="O768" s="38"/>
      <c r="P768" s="38"/>
    </row>
    <row r="769" ht="15.75" customHeight="1">
      <c r="D769" s="38"/>
      <c r="E769" s="38"/>
      <c r="F769" s="38"/>
      <c r="G769" s="38"/>
      <c r="H769" s="38"/>
      <c r="I769" s="38"/>
      <c r="J769" s="38"/>
      <c r="K769" s="38"/>
      <c r="L769" s="55"/>
      <c r="M769" s="38"/>
      <c r="N769" s="38"/>
      <c r="O769" s="38"/>
      <c r="P769" s="38"/>
    </row>
    <row r="770" ht="15.75" customHeight="1">
      <c r="D770" s="38"/>
      <c r="E770" s="38"/>
      <c r="F770" s="38"/>
      <c r="G770" s="38"/>
      <c r="H770" s="38"/>
      <c r="I770" s="38"/>
      <c r="J770" s="38"/>
      <c r="K770" s="38"/>
      <c r="L770" s="55"/>
      <c r="M770" s="38"/>
      <c r="N770" s="38"/>
      <c r="O770" s="38"/>
      <c r="P770" s="38"/>
    </row>
    <row r="771" ht="15.75" customHeight="1">
      <c r="D771" s="38"/>
      <c r="E771" s="38"/>
      <c r="F771" s="38"/>
      <c r="G771" s="38"/>
      <c r="H771" s="38"/>
      <c r="I771" s="38"/>
      <c r="J771" s="38"/>
      <c r="K771" s="38"/>
      <c r="L771" s="55"/>
      <c r="M771" s="38"/>
      <c r="N771" s="38"/>
      <c r="O771" s="38"/>
      <c r="P771" s="38"/>
    </row>
    <row r="772" ht="15.75" customHeight="1">
      <c r="D772" s="38"/>
      <c r="E772" s="38"/>
      <c r="F772" s="38"/>
      <c r="G772" s="38"/>
      <c r="H772" s="38"/>
      <c r="I772" s="38"/>
      <c r="J772" s="38"/>
      <c r="K772" s="38"/>
      <c r="L772" s="55"/>
      <c r="M772" s="38"/>
      <c r="N772" s="38"/>
      <c r="O772" s="38"/>
      <c r="P772" s="38"/>
    </row>
    <row r="773" ht="15.75" customHeight="1">
      <c r="D773" s="38"/>
      <c r="E773" s="38"/>
      <c r="F773" s="38"/>
      <c r="G773" s="38"/>
      <c r="H773" s="38"/>
      <c r="I773" s="38"/>
      <c r="J773" s="38"/>
      <c r="K773" s="38"/>
      <c r="L773" s="55"/>
      <c r="M773" s="38"/>
      <c r="N773" s="38"/>
      <c r="O773" s="38"/>
      <c r="P773" s="38"/>
    </row>
    <row r="774" ht="15.75" customHeight="1">
      <c r="D774" s="38"/>
      <c r="E774" s="38"/>
      <c r="F774" s="38"/>
      <c r="G774" s="38"/>
      <c r="H774" s="38"/>
      <c r="I774" s="38"/>
      <c r="J774" s="38"/>
      <c r="K774" s="38"/>
      <c r="L774" s="55"/>
      <c r="M774" s="38"/>
      <c r="N774" s="38"/>
      <c r="O774" s="38"/>
      <c r="P774" s="38"/>
    </row>
    <row r="775" ht="15.75" customHeight="1">
      <c r="D775" s="38"/>
      <c r="E775" s="38"/>
      <c r="F775" s="38"/>
      <c r="G775" s="38"/>
      <c r="H775" s="38"/>
      <c r="I775" s="38"/>
      <c r="J775" s="38"/>
      <c r="K775" s="38"/>
      <c r="L775" s="55"/>
      <c r="M775" s="38"/>
      <c r="N775" s="38"/>
      <c r="O775" s="38"/>
      <c r="P775" s="38"/>
    </row>
    <row r="776" ht="15.75" customHeight="1">
      <c r="D776" s="38"/>
      <c r="E776" s="38"/>
      <c r="F776" s="38"/>
      <c r="G776" s="38"/>
      <c r="H776" s="38"/>
      <c r="I776" s="38"/>
      <c r="J776" s="38"/>
      <c r="K776" s="38"/>
      <c r="L776" s="55"/>
      <c r="M776" s="38"/>
      <c r="N776" s="38"/>
      <c r="O776" s="38"/>
      <c r="P776" s="38"/>
    </row>
    <row r="777" ht="15.75" customHeight="1">
      <c r="D777" s="38"/>
      <c r="E777" s="38"/>
      <c r="F777" s="38"/>
      <c r="G777" s="38"/>
      <c r="H777" s="38"/>
      <c r="I777" s="38"/>
      <c r="J777" s="38"/>
      <c r="K777" s="38"/>
      <c r="L777" s="55"/>
      <c r="M777" s="38"/>
      <c r="N777" s="38"/>
      <c r="O777" s="38"/>
      <c r="P777" s="38"/>
    </row>
    <row r="778" ht="15.75" customHeight="1">
      <c r="D778" s="38"/>
      <c r="E778" s="38"/>
      <c r="F778" s="38"/>
      <c r="G778" s="38"/>
      <c r="H778" s="38"/>
      <c r="I778" s="38"/>
      <c r="J778" s="38"/>
      <c r="K778" s="38"/>
      <c r="L778" s="55"/>
      <c r="M778" s="38"/>
      <c r="N778" s="38"/>
      <c r="O778" s="38"/>
      <c r="P778" s="38"/>
    </row>
    <row r="779" ht="15.75" customHeight="1">
      <c r="D779" s="38"/>
      <c r="E779" s="38"/>
      <c r="F779" s="38"/>
      <c r="G779" s="38"/>
      <c r="H779" s="38"/>
      <c r="I779" s="38"/>
      <c r="J779" s="38"/>
      <c r="K779" s="38"/>
      <c r="L779" s="55"/>
      <c r="M779" s="38"/>
      <c r="N779" s="38"/>
      <c r="O779" s="38"/>
      <c r="P779" s="38"/>
    </row>
    <row r="780" ht="15.75" customHeight="1">
      <c r="D780" s="38"/>
      <c r="E780" s="38"/>
      <c r="F780" s="38"/>
      <c r="G780" s="38"/>
      <c r="H780" s="38"/>
      <c r="I780" s="38"/>
      <c r="J780" s="38"/>
      <c r="K780" s="38"/>
      <c r="L780" s="55"/>
      <c r="M780" s="38"/>
      <c r="N780" s="38"/>
      <c r="O780" s="38"/>
      <c r="P780" s="38"/>
    </row>
    <row r="781" ht="15.75" customHeight="1">
      <c r="D781" s="38"/>
      <c r="E781" s="38"/>
      <c r="F781" s="38"/>
      <c r="G781" s="38"/>
      <c r="H781" s="38"/>
      <c r="I781" s="38"/>
      <c r="J781" s="38"/>
      <c r="K781" s="38"/>
      <c r="L781" s="55"/>
      <c r="M781" s="38"/>
      <c r="N781" s="38"/>
      <c r="O781" s="38"/>
      <c r="P781" s="38"/>
    </row>
    <row r="782" ht="15.75" customHeight="1">
      <c r="D782" s="38"/>
      <c r="E782" s="38"/>
      <c r="F782" s="38"/>
      <c r="G782" s="38"/>
      <c r="H782" s="38"/>
      <c r="I782" s="38"/>
      <c r="J782" s="38"/>
      <c r="K782" s="38"/>
      <c r="L782" s="55"/>
      <c r="M782" s="38"/>
      <c r="N782" s="38"/>
      <c r="O782" s="38"/>
      <c r="P782" s="38"/>
    </row>
    <row r="783" ht="15.75" customHeight="1">
      <c r="D783" s="38"/>
      <c r="E783" s="38"/>
      <c r="F783" s="38"/>
      <c r="G783" s="38"/>
      <c r="H783" s="38"/>
      <c r="I783" s="38"/>
      <c r="J783" s="38"/>
      <c r="K783" s="38"/>
      <c r="L783" s="55"/>
      <c r="M783" s="38"/>
      <c r="N783" s="38"/>
      <c r="O783" s="38"/>
      <c r="P783" s="38"/>
    </row>
    <row r="784" ht="15.75" customHeight="1">
      <c r="D784" s="38"/>
      <c r="E784" s="38"/>
      <c r="F784" s="38"/>
      <c r="G784" s="38"/>
      <c r="H784" s="38"/>
      <c r="I784" s="38"/>
      <c r="J784" s="38"/>
      <c r="K784" s="38"/>
      <c r="L784" s="55"/>
      <c r="M784" s="38"/>
      <c r="N784" s="38"/>
      <c r="O784" s="38"/>
      <c r="P784" s="38"/>
    </row>
    <row r="785" ht="15.75" customHeight="1">
      <c r="D785" s="38"/>
      <c r="E785" s="38"/>
      <c r="F785" s="38"/>
      <c r="G785" s="38"/>
      <c r="H785" s="38"/>
      <c r="I785" s="38"/>
      <c r="J785" s="38"/>
      <c r="K785" s="38"/>
      <c r="L785" s="55"/>
      <c r="M785" s="38"/>
      <c r="N785" s="38"/>
      <c r="O785" s="38"/>
      <c r="P785" s="38"/>
    </row>
    <row r="786" ht="15.75" customHeight="1">
      <c r="D786" s="38"/>
      <c r="E786" s="38"/>
      <c r="F786" s="38"/>
      <c r="G786" s="38"/>
      <c r="H786" s="38"/>
      <c r="I786" s="38"/>
      <c r="J786" s="38"/>
      <c r="K786" s="38"/>
      <c r="L786" s="55"/>
      <c r="M786" s="38"/>
      <c r="N786" s="38"/>
      <c r="O786" s="38"/>
      <c r="P786" s="38"/>
    </row>
    <row r="787" ht="15.75" customHeight="1">
      <c r="D787" s="38"/>
      <c r="E787" s="38"/>
      <c r="F787" s="38"/>
      <c r="G787" s="38"/>
      <c r="H787" s="38"/>
      <c r="I787" s="38"/>
      <c r="J787" s="38"/>
      <c r="K787" s="38"/>
      <c r="L787" s="55"/>
      <c r="M787" s="38"/>
      <c r="N787" s="38"/>
      <c r="O787" s="38"/>
      <c r="P787" s="38"/>
    </row>
    <row r="788" ht="15.75" customHeight="1">
      <c r="D788" s="38"/>
      <c r="E788" s="38"/>
      <c r="F788" s="38"/>
      <c r="G788" s="38"/>
      <c r="H788" s="38"/>
      <c r="I788" s="38"/>
      <c r="J788" s="38"/>
      <c r="K788" s="38"/>
      <c r="L788" s="55"/>
      <c r="M788" s="38"/>
      <c r="N788" s="38"/>
      <c r="O788" s="38"/>
      <c r="P788" s="38"/>
    </row>
    <row r="789" ht="15.75" customHeight="1">
      <c r="D789" s="38"/>
      <c r="E789" s="38"/>
      <c r="F789" s="38"/>
      <c r="G789" s="38"/>
      <c r="H789" s="38"/>
      <c r="I789" s="38"/>
      <c r="J789" s="38"/>
      <c r="K789" s="38"/>
      <c r="L789" s="55"/>
      <c r="M789" s="38"/>
      <c r="N789" s="38"/>
      <c r="O789" s="38"/>
      <c r="P789" s="38"/>
    </row>
    <row r="790" ht="15.75" customHeight="1">
      <c r="D790" s="38"/>
      <c r="E790" s="38"/>
      <c r="F790" s="38"/>
      <c r="G790" s="38"/>
      <c r="H790" s="38"/>
      <c r="I790" s="38"/>
      <c r="J790" s="38"/>
      <c r="K790" s="38"/>
      <c r="L790" s="55"/>
      <c r="M790" s="38"/>
      <c r="N790" s="38"/>
      <c r="O790" s="38"/>
      <c r="P790" s="38"/>
    </row>
    <row r="791" ht="15.75" customHeight="1">
      <c r="D791" s="38"/>
      <c r="E791" s="38"/>
      <c r="F791" s="38"/>
      <c r="G791" s="38"/>
      <c r="H791" s="38"/>
      <c r="I791" s="38"/>
      <c r="J791" s="38"/>
      <c r="K791" s="38"/>
      <c r="L791" s="55"/>
      <c r="M791" s="38"/>
      <c r="N791" s="38"/>
      <c r="O791" s="38"/>
      <c r="P791" s="38"/>
    </row>
    <row r="792" ht="15.75" customHeight="1">
      <c r="D792" s="38"/>
      <c r="E792" s="38"/>
      <c r="F792" s="38"/>
      <c r="G792" s="38"/>
      <c r="H792" s="38"/>
      <c r="I792" s="38"/>
      <c r="J792" s="38"/>
      <c r="K792" s="38"/>
      <c r="L792" s="55"/>
      <c r="M792" s="38"/>
      <c r="N792" s="38"/>
      <c r="O792" s="38"/>
      <c r="P792" s="38"/>
    </row>
    <row r="793" ht="15.75" customHeight="1">
      <c r="D793" s="38"/>
      <c r="E793" s="38"/>
      <c r="F793" s="38"/>
      <c r="G793" s="38"/>
      <c r="H793" s="38"/>
      <c r="I793" s="38"/>
      <c r="J793" s="38"/>
      <c r="K793" s="38"/>
      <c r="L793" s="55"/>
      <c r="M793" s="38"/>
      <c r="N793" s="38"/>
      <c r="O793" s="38"/>
      <c r="P793" s="38"/>
    </row>
    <row r="794" ht="15.75" customHeight="1">
      <c r="D794" s="38"/>
      <c r="E794" s="38"/>
      <c r="F794" s="38"/>
      <c r="G794" s="38"/>
      <c r="H794" s="38"/>
      <c r="I794" s="38"/>
      <c r="J794" s="38"/>
      <c r="K794" s="38"/>
      <c r="L794" s="55"/>
      <c r="M794" s="38"/>
      <c r="N794" s="38"/>
      <c r="O794" s="38"/>
      <c r="P794" s="38"/>
    </row>
    <row r="795" ht="15.75" customHeight="1">
      <c r="D795" s="38"/>
      <c r="E795" s="38"/>
      <c r="F795" s="38"/>
      <c r="G795" s="38"/>
      <c r="H795" s="38"/>
      <c r="I795" s="38"/>
      <c r="J795" s="38"/>
      <c r="K795" s="38"/>
      <c r="L795" s="55"/>
      <c r="M795" s="38"/>
      <c r="N795" s="38"/>
      <c r="O795" s="38"/>
      <c r="P795" s="38"/>
    </row>
    <row r="796" ht="15.75" customHeight="1">
      <c r="D796" s="38"/>
      <c r="E796" s="38"/>
      <c r="F796" s="38"/>
      <c r="G796" s="38"/>
      <c r="H796" s="38"/>
      <c r="I796" s="38"/>
      <c r="J796" s="38"/>
      <c r="K796" s="38"/>
      <c r="L796" s="55"/>
      <c r="M796" s="38"/>
      <c r="N796" s="38"/>
      <c r="O796" s="38"/>
      <c r="P796" s="38"/>
    </row>
    <row r="797" ht="15.75" customHeight="1">
      <c r="D797" s="38"/>
      <c r="E797" s="38"/>
      <c r="F797" s="38"/>
      <c r="G797" s="38"/>
      <c r="H797" s="38"/>
      <c r="I797" s="38"/>
      <c r="J797" s="38"/>
      <c r="K797" s="38"/>
      <c r="L797" s="55"/>
      <c r="M797" s="38"/>
      <c r="N797" s="38"/>
      <c r="O797" s="38"/>
      <c r="P797" s="38"/>
    </row>
    <row r="798" ht="15.75" customHeight="1">
      <c r="D798" s="38"/>
      <c r="E798" s="38"/>
      <c r="F798" s="38"/>
      <c r="G798" s="38"/>
      <c r="H798" s="38"/>
      <c r="I798" s="38"/>
      <c r="J798" s="38"/>
      <c r="K798" s="38"/>
      <c r="L798" s="55"/>
      <c r="M798" s="38"/>
      <c r="N798" s="38"/>
      <c r="O798" s="38"/>
      <c r="P798" s="38"/>
    </row>
    <row r="799" ht="15.75" customHeight="1">
      <c r="D799" s="38"/>
      <c r="E799" s="38"/>
      <c r="F799" s="38"/>
      <c r="G799" s="38"/>
      <c r="H799" s="38"/>
      <c r="I799" s="38"/>
      <c r="J799" s="38"/>
      <c r="K799" s="38"/>
      <c r="L799" s="55"/>
      <c r="M799" s="38"/>
      <c r="N799" s="38"/>
      <c r="O799" s="38"/>
      <c r="P799" s="38"/>
    </row>
    <row r="800" ht="15.75" customHeight="1">
      <c r="D800" s="38"/>
      <c r="E800" s="38"/>
      <c r="F800" s="38"/>
      <c r="G800" s="38"/>
      <c r="H800" s="38"/>
      <c r="I800" s="38"/>
      <c r="J800" s="38"/>
      <c r="K800" s="38"/>
      <c r="L800" s="55"/>
      <c r="M800" s="38"/>
      <c r="N800" s="38"/>
      <c r="O800" s="38"/>
      <c r="P800" s="38"/>
    </row>
    <row r="801" ht="15.75" customHeight="1">
      <c r="D801" s="38"/>
      <c r="E801" s="38"/>
      <c r="F801" s="38"/>
      <c r="G801" s="38"/>
      <c r="H801" s="38"/>
      <c r="I801" s="38"/>
      <c r="J801" s="38"/>
      <c r="K801" s="38"/>
      <c r="L801" s="55"/>
      <c r="M801" s="38"/>
      <c r="N801" s="38"/>
      <c r="O801" s="38"/>
      <c r="P801" s="38"/>
    </row>
    <row r="802" ht="15.75" customHeight="1">
      <c r="D802" s="38"/>
      <c r="E802" s="38"/>
      <c r="F802" s="38"/>
      <c r="G802" s="38"/>
      <c r="H802" s="38"/>
      <c r="I802" s="38"/>
      <c r="J802" s="38"/>
      <c r="K802" s="38"/>
      <c r="L802" s="55"/>
      <c r="M802" s="38"/>
      <c r="N802" s="38"/>
      <c r="O802" s="38"/>
      <c r="P802" s="38"/>
    </row>
    <row r="803" ht="15.75" customHeight="1">
      <c r="D803" s="38"/>
      <c r="E803" s="38"/>
      <c r="F803" s="38"/>
      <c r="G803" s="38"/>
      <c r="H803" s="38"/>
      <c r="I803" s="38"/>
      <c r="J803" s="38"/>
      <c r="K803" s="38"/>
      <c r="L803" s="55"/>
      <c r="M803" s="38"/>
      <c r="N803" s="38"/>
      <c r="O803" s="38"/>
      <c r="P803" s="38"/>
    </row>
    <row r="804" ht="15.75" customHeight="1">
      <c r="D804" s="38"/>
      <c r="E804" s="38"/>
      <c r="F804" s="38"/>
      <c r="G804" s="38"/>
      <c r="H804" s="38"/>
      <c r="I804" s="38"/>
      <c r="J804" s="38"/>
      <c r="K804" s="38"/>
      <c r="L804" s="55"/>
      <c r="M804" s="38"/>
      <c r="N804" s="38"/>
      <c r="O804" s="38"/>
      <c r="P804" s="38"/>
    </row>
    <row r="805" ht="15.75" customHeight="1">
      <c r="D805" s="38"/>
      <c r="E805" s="38"/>
      <c r="F805" s="38"/>
      <c r="G805" s="38"/>
      <c r="H805" s="38"/>
      <c r="I805" s="38"/>
      <c r="J805" s="38"/>
      <c r="K805" s="38"/>
      <c r="L805" s="55"/>
      <c r="M805" s="38"/>
      <c r="N805" s="38"/>
      <c r="O805" s="38"/>
      <c r="P805" s="38"/>
    </row>
    <row r="806" ht="15.75" customHeight="1">
      <c r="D806" s="38"/>
      <c r="E806" s="38"/>
      <c r="F806" s="38"/>
      <c r="G806" s="38"/>
      <c r="H806" s="38"/>
      <c r="I806" s="38"/>
      <c r="J806" s="38"/>
      <c r="K806" s="38"/>
      <c r="L806" s="55"/>
      <c r="M806" s="38"/>
      <c r="N806" s="38"/>
      <c r="O806" s="38"/>
      <c r="P806" s="38"/>
    </row>
    <row r="807" ht="15.75" customHeight="1">
      <c r="D807" s="38"/>
      <c r="E807" s="38"/>
      <c r="F807" s="38"/>
      <c r="G807" s="38"/>
      <c r="H807" s="38"/>
      <c r="I807" s="38"/>
      <c r="J807" s="38"/>
      <c r="K807" s="38"/>
      <c r="L807" s="55"/>
      <c r="M807" s="38"/>
      <c r="N807" s="38"/>
      <c r="O807" s="38"/>
      <c r="P807" s="38"/>
    </row>
    <row r="808" ht="15.75" customHeight="1">
      <c r="D808" s="38"/>
      <c r="E808" s="38"/>
      <c r="F808" s="38"/>
      <c r="G808" s="38"/>
      <c r="H808" s="38"/>
      <c r="I808" s="38"/>
      <c r="J808" s="38"/>
      <c r="K808" s="38"/>
      <c r="L808" s="55"/>
      <c r="M808" s="38"/>
      <c r="N808" s="38"/>
      <c r="O808" s="38"/>
      <c r="P808" s="38"/>
    </row>
    <row r="809" ht="15.75" customHeight="1">
      <c r="D809" s="38"/>
      <c r="E809" s="38"/>
      <c r="F809" s="38"/>
      <c r="G809" s="38"/>
      <c r="H809" s="38"/>
      <c r="I809" s="38"/>
      <c r="J809" s="38"/>
      <c r="K809" s="38"/>
      <c r="L809" s="55"/>
      <c r="M809" s="38"/>
      <c r="N809" s="38"/>
      <c r="O809" s="38"/>
      <c r="P809" s="38"/>
    </row>
    <row r="810" ht="15.75" customHeight="1">
      <c r="D810" s="38"/>
      <c r="E810" s="38"/>
      <c r="F810" s="38"/>
      <c r="G810" s="38"/>
      <c r="H810" s="38"/>
      <c r="I810" s="38"/>
      <c r="J810" s="38"/>
      <c r="K810" s="38"/>
      <c r="L810" s="55"/>
      <c r="M810" s="38"/>
      <c r="N810" s="38"/>
      <c r="O810" s="38"/>
      <c r="P810" s="38"/>
    </row>
    <row r="811" ht="15.75" customHeight="1">
      <c r="D811" s="38"/>
      <c r="E811" s="38"/>
      <c r="F811" s="38"/>
      <c r="G811" s="38"/>
      <c r="H811" s="38"/>
      <c r="I811" s="38"/>
      <c r="J811" s="38"/>
      <c r="K811" s="38"/>
      <c r="L811" s="55"/>
      <c r="M811" s="38"/>
      <c r="N811" s="38"/>
      <c r="O811" s="38"/>
      <c r="P811" s="38"/>
    </row>
    <row r="812" ht="15.75" customHeight="1">
      <c r="D812" s="38"/>
      <c r="E812" s="38"/>
      <c r="F812" s="38"/>
      <c r="G812" s="38"/>
      <c r="H812" s="38"/>
      <c r="I812" s="38"/>
      <c r="J812" s="38"/>
      <c r="K812" s="38"/>
      <c r="L812" s="55"/>
      <c r="M812" s="38"/>
      <c r="N812" s="38"/>
      <c r="O812" s="38"/>
      <c r="P812" s="38"/>
    </row>
    <row r="813" ht="15.75" customHeight="1">
      <c r="D813" s="38"/>
      <c r="E813" s="38"/>
      <c r="F813" s="38"/>
      <c r="G813" s="38"/>
      <c r="H813" s="38"/>
      <c r="I813" s="38"/>
      <c r="J813" s="38"/>
      <c r="K813" s="38"/>
      <c r="L813" s="55"/>
      <c r="M813" s="38"/>
      <c r="N813" s="38"/>
      <c r="O813" s="38"/>
      <c r="P813" s="38"/>
    </row>
    <row r="814" ht="15.75" customHeight="1">
      <c r="D814" s="38"/>
      <c r="E814" s="38"/>
      <c r="F814" s="38"/>
      <c r="G814" s="38"/>
      <c r="H814" s="38"/>
      <c r="I814" s="38"/>
      <c r="J814" s="38"/>
      <c r="K814" s="38"/>
      <c r="L814" s="55"/>
      <c r="M814" s="38"/>
      <c r="N814" s="38"/>
      <c r="O814" s="38"/>
      <c r="P814" s="38"/>
    </row>
    <row r="815" ht="15.75" customHeight="1">
      <c r="D815" s="38"/>
      <c r="E815" s="38"/>
      <c r="F815" s="38"/>
      <c r="G815" s="38"/>
      <c r="H815" s="38"/>
      <c r="I815" s="38"/>
      <c r="J815" s="38"/>
      <c r="K815" s="38"/>
      <c r="L815" s="55"/>
      <c r="M815" s="38"/>
      <c r="N815" s="38"/>
      <c r="O815" s="38"/>
      <c r="P815" s="38"/>
    </row>
    <row r="816" ht="15.75" customHeight="1">
      <c r="D816" s="38"/>
      <c r="E816" s="38"/>
      <c r="F816" s="38"/>
      <c r="G816" s="38"/>
      <c r="H816" s="38"/>
      <c r="I816" s="38"/>
      <c r="J816" s="38"/>
      <c r="K816" s="38"/>
      <c r="L816" s="55"/>
      <c r="M816" s="38"/>
      <c r="N816" s="38"/>
      <c r="O816" s="38"/>
      <c r="P816" s="38"/>
    </row>
    <row r="817" ht="15.75" customHeight="1">
      <c r="D817" s="38"/>
      <c r="E817" s="38"/>
      <c r="F817" s="38"/>
      <c r="G817" s="38"/>
      <c r="H817" s="38"/>
      <c r="I817" s="38"/>
      <c r="J817" s="38"/>
      <c r="K817" s="38"/>
      <c r="L817" s="55"/>
      <c r="M817" s="38"/>
      <c r="N817" s="38"/>
      <c r="O817" s="38"/>
      <c r="P817" s="38"/>
    </row>
    <row r="818" ht="15.75" customHeight="1">
      <c r="D818" s="38"/>
      <c r="E818" s="38"/>
      <c r="F818" s="38"/>
      <c r="G818" s="38"/>
      <c r="H818" s="38"/>
      <c r="I818" s="38"/>
      <c r="J818" s="38"/>
      <c r="K818" s="38"/>
      <c r="L818" s="55"/>
      <c r="M818" s="38"/>
      <c r="N818" s="38"/>
      <c r="O818" s="38"/>
      <c r="P818" s="38"/>
    </row>
    <row r="819" ht="15.75" customHeight="1">
      <c r="D819" s="38"/>
      <c r="E819" s="38"/>
      <c r="F819" s="38"/>
      <c r="G819" s="38"/>
      <c r="H819" s="38"/>
      <c r="I819" s="38"/>
      <c r="J819" s="38"/>
      <c r="K819" s="38"/>
      <c r="L819" s="55"/>
      <c r="M819" s="38"/>
      <c r="N819" s="38"/>
      <c r="O819" s="38"/>
      <c r="P819" s="38"/>
    </row>
    <row r="820" ht="15.75" customHeight="1">
      <c r="D820" s="38"/>
      <c r="E820" s="38"/>
      <c r="F820" s="38"/>
      <c r="G820" s="38"/>
      <c r="H820" s="38"/>
      <c r="I820" s="38"/>
      <c r="J820" s="38"/>
      <c r="K820" s="38"/>
      <c r="L820" s="55"/>
      <c r="M820" s="38"/>
      <c r="N820" s="38"/>
      <c r="O820" s="38"/>
      <c r="P820" s="38"/>
    </row>
    <row r="821" ht="15.75" customHeight="1">
      <c r="D821" s="38"/>
      <c r="E821" s="38"/>
      <c r="F821" s="38"/>
      <c r="G821" s="38"/>
      <c r="H821" s="38"/>
      <c r="I821" s="38"/>
      <c r="J821" s="38"/>
      <c r="K821" s="38"/>
      <c r="L821" s="55"/>
      <c r="M821" s="38"/>
      <c r="N821" s="38"/>
      <c r="O821" s="38"/>
      <c r="P821" s="38"/>
    </row>
    <row r="822" ht="15.75" customHeight="1">
      <c r="D822" s="38"/>
      <c r="E822" s="38"/>
      <c r="F822" s="38"/>
      <c r="G822" s="38"/>
      <c r="H822" s="38"/>
      <c r="I822" s="38"/>
      <c r="J822" s="38"/>
      <c r="K822" s="38"/>
      <c r="L822" s="55"/>
      <c r="M822" s="38"/>
      <c r="N822" s="38"/>
      <c r="O822" s="38"/>
      <c r="P822" s="38"/>
    </row>
    <row r="823" ht="15.75" customHeight="1">
      <c r="D823" s="38"/>
      <c r="E823" s="38"/>
      <c r="F823" s="38"/>
      <c r="G823" s="38"/>
      <c r="H823" s="38"/>
      <c r="I823" s="38"/>
      <c r="J823" s="38"/>
      <c r="K823" s="38"/>
      <c r="L823" s="55"/>
      <c r="M823" s="38"/>
      <c r="N823" s="38"/>
      <c r="O823" s="38"/>
      <c r="P823" s="38"/>
    </row>
    <row r="824" ht="15.75" customHeight="1">
      <c r="D824" s="38"/>
      <c r="E824" s="38"/>
      <c r="F824" s="38"/>
      <c r="G824" s="38"/>
      <c r="H824" s="38"/>
      <c r="I824" s="38"/>
      <c r="J824" s="38"/>
      <c r="K824" s="38"/>
      <c r="L824" s="55"/>
      <c r="M824" s="38"/>
      <c r="N824" s="38"/>
      <c r="O824" s="38"/>
      <c r="P824" s="38"/>
    </row>
    <row r="825" ht="15.75" customHeight="1">
      <c r="D825" s="38"/>
      <c r="E825" s="38"/>
      <c r="F825" s="38"/>
      <c r="G825" s="38"/>
      <c r="H825" s="38"/>
      <c r="I825" s="38"/>
      <c r="J825" s="38"/>
      <c r="K825" s="38"/>
      <c r="L825" s="55"/>
      <c r="M825" s="38"/>
      <c r="N825" s="38"/>
      <c r="O825" s="38"/>
      <c r="P825" s="38"/>
    </row>
    <row r="826" ht="15.75" customHeight="1">
      <c r="D826" s="38"/>
      <c r="E826" s="38"/>
      <c r="F826" s="38"/>
      <c r="G826" s="38"/>
      <c r="H826" s="38"/>
      <c r="I826" s="38"/>
      <c r="J826" s="38"/>
      <c r="K826" s="38"/>
      <c r="L826" s="55"/>
      <c r="M826" s="38"/>
      <c r="N826" s="38"/>
      <c r="O826" s="38"/>
      <c r="P826" s="38"/>
    </row>
    <row r="827" ht="15.75" customHeight="1">
      <c r="D827" s="38"/>
      <c r="E827" s="38"/>
      <c r="F827" s="38"/>
      <c r="G827" s="38"/>
      <c r="H827" s="38"/>
      <c r="I827" s="38"/>
      <c r="J827" s="38"/>
      <c r="K827" s="38"/>
      <c r="L827" s="55"/>
      <c r="M827" s="38"/>
      <c r="N827" s="38"/>
      <c r="O827" s="38"/>
      <c r="P827" s="38"/>
    </row>
    <row r="828" ht="15.75" customHeight="1">
      <c r="D828" s="38"/>
      <c r="E828" s="38"/>
      <c r="F828" s="38"/>
      <c r="G828" s="38"/>
      <c r="H828" s="38"/>
      <c r="I828" s="38"/>
      <c r="J828" s="38"/>
      <c r="K828" s="38"/>
      <c r="L828" s="55"/>
      <c r="M828" s="38"/>
      <c r="N828" s="38"/>
      <c r="O828" s="38"/>
      <c r="P828" s="38"/>
    </row>
    <row r="829" ht="15.75" customHeight="1">
      <c r="D829" s="38"/>
      <c r="E829" s="38"/>
      <c r="F829" s="38"/>
      <c r="G829" s="38"/>
      <c r="H829" s="38"/>
      <c r="I829" s="38"/>
      <c r="J829" s="38"/>
      <c r="K829" s="38"/>
      <c r="L829" s="55"/>
      <c r="M829" s="38"/>
      <c r="N829" s="38"/>
      <c r="O829" s="38"/>
      <c r="P829" s="38"/>
    </row>
    <row r="830" ht="15.75" customHeight="1">
      <c r="D830" s="38"/>
      <c r="E830" s="38"/>
      <c r="F830" s="38"/>
      <c r="G830" s="38"/>
      <c r="H830" s="38"/>
      <c r="I830" s="38"/>
      <c r="J830" s="38"/>
      <c r="K830" s="38"/>
      <c r="L830" s="55"/>
      <c r="M830" s="38"/>
      <c r="N830" s="38"/>
      <c r="O830" s="38"/>
      <c r="P830" s="38"/>
    </row>
    <row r="831" ht="15.75" customHeight="1">
      <c r="D831" s="38"/>
      <c r="E831" s="38"/>
      <c r="F831" s="38"/>
      <c r="G831" s="38"/>
      <c r="H831" s="38"/>
      <c r="I831" s="38"/>
      <c r="J831" s="38"/>
      <c r="K831" s="38"/>
      <c r="L831" s="55"/>
      <c r="M831" s="38"/>
      <c r="N831" s="38"/>
      <c r="O831" s="38"/>
      <c r="P831" s="38"/>
    </row>
    <row r="832" ht="15.75" customHeight="1">
      <c r="D832" s="38"/>
      <c r="E832" s="38"/>
      <c r="F832" s="38"/>
      <c r="G832" s="38"/>
      <c r="H832" s="38"/>
      <c r="I832" s="38"/>
      <c r="J832" s="38"/>
      <c r="K832" s="38"/>
      <c r="L832" s="55"/>
      <c r="M832" s="38"/>
      <c r="N832" s="38"/>
      <c r="O832" s="38"/>
      <c r="P832" s="38"/>
    </row>
    <row r="833" ht="15.75" customHeight="1">
      <c r="D833" s="38"/>
      <c r="E833" s="38"/>
      <c r="F833" s="38"/>
      <c r="G833" s="38"/>
      <c r="H833" s="38"/>
      <c r="I833" s="38"/>
      <c r="J833" s="38"/>
      <c r="K833" s="38"/>
      <c r="L833" s="55"/>
      <c r="M833" s="38"/>
      <c r="N833" s="38"/>
      <c r="O833" s="38"/>
      <c r="P833" s="38"/>
    </row>
    <row r="834" ht="15.75" customHeight="1">
      <c r="D834" s="38"/>
      <c r="E834" s="38"/>
      <c r="F834" s="38"/>
      <c r="G834" s="38"/>
      <c r="H834" s="38"/>
      <c r="I834" s="38"/>
      <c r="J834" s="38"/>
      <c r="K834" s="38"/>
      <c r="L834" s="55"/>
      <c r="M834" s="38"/>
      <c r="N834" s="38"/>
      <c r="O834" s="38"/>
      <c r="P834" s="38"/>
    </row>
    <row r="835" ht="15.75" customHeight="1">
      <c r="D835" s="38"/>
      <c r="E835" s="38"/>
      <c r="F835" s="38"/>
      <c r="G835" s="38"/>
      <c r="H835" s="38"/>
      <c r="I835" s="38"/>
      <c r="J835" s="38"/>
      <c r="K835" s="38"/>
      <c r="L835" s="55"/>
      <c r="M835" s="38"/>
      <c r="N835" s="38"/>
      <c r="O835" s="38"/>
      <c r="P835" s="38"/>
    </row>
    <row r="836" ht="15.75" customHeight="1">
      <c r="D836" s="38"/>
      <c r="E836" s="38"/>
      <c r="F836" s="38"/>
      <c r="G836" s="38"/>
      <c r="H836" s="38"/>
      <c r="I836" s="38"/>
      <c r="J836" s="38"/>
      <c r="K836" s="38"/>
      <c r="L836" s="55"/>
      <c r="M836" s="38"/>
      <c r="N836" s="38"/>
      <c r="O836" s="38"/>
      <c r="P836" s="38"/>
    </row>
    <row r="837" ht="15.75" customHeight="1">
      <c r="D837" s="38"/>
      <c r="E837" s="38"/>
      <c r="F837" s="38"/>
      <c r="G837" s="38"/>
      <c r="H837" s="38"/>
      <c r="I837" s="38"/>
      <c r="J837" s="38"/>
      <c r="K837" s="38"/>
      <c r="L837" s="55"/>
      <c r="M837" s="38"/>
      <c r="N837" s="38"/>
      <c r="O837" s="38"/>
      <c r="P837" s="38"/>
    </row>
    <row r="838" ht="15.75" customHeight="1">
      <c r="D838" s="38"/>
      <c r="E838" s="38"/>
      <c r="F838" s="38"/>
      <c r="G838" s="38"/>
      <c r="H838" s="38"/>
      <c r="I838" s="38"/>
      <c r="J838" s="38"/>
      <c r="K838" s="38"/>
      <c r="L838" s="55"/>
      <c r="M838" s="38"/>
      <c r="N838" s="38"/>
      <c r="O838" s="38"/>
      <c r="P838" s="38"/>
    </row>
    <row r="839" ht="15.75" customHeight="1">
      <c r="D839" s="38"/>
      <c r="E839" s="38"/>
      <c r="F839" s="38"/>
      <c r="G839" s="38"/>
      <c r="H839" s="38"/>
      <c r="I839" s="38"/>
      <c r="J839" s="38"/>
      <c r="K839" s="38"/>
      <c r="L839" s="55"/>
      <c r="M839" s="38"/>
      <c r="N839" s="38"/>
      <c r="O839" s="38"/>
      <c r="P839" s="38"/>
    </row>
    <row r="840" ht="15.75" customHeight="1">
      <c r="D840" s="38"/>
      <c r="E840" s="38"/>
      <c r="F840" s="38"/>
      <c r="G840" s="38"/>
      <c r="H840" s="38"/>
      <c r="I840" s="38"/>
      <c r="J840" s="38"/>
      <c r="K840" s="38"/>
      <c r="L840" s="55"/>
      <c r="M840" s="38"/>
      <c r="N840" s="38"/>
      <c r="O840" s="38"/>
      <c r="P840" s="38"/>
    </row>
    <row r="841" ht="15.75" customHeight="1">
      <c r="D841" s="38"/>
      <c r="E841" s="38"/>
      <c r="F841" s="38"/>
      <c r="G841" s="38"/>
      <c r="H841" s="38"/>
      <c r="I841" s="38"/>
      <c r="J841" s="38"/>
      <c r="K841" s="38"/>
      <c r="L841" s="55"/>
      <c r="M841" s="38"/>
      <c r="N841" s="38"/>
      <c r="O841" s="38"/>
      <c r="P841" s="38"/>
    </row>
    <row r="842" ht="15.75" customHeight="1">
      <c r="D842" s="38"/>
      <c r="E842" s="38"/>
      <c r="F842" s="38"/>
      <c r="G842" s="38"/>
      <c r="H842" s="38"/>
      <c r="I842" s="38"/>
      <c r="J842" s="38"/>
      <c r="K842" s="38"/>
      <c r="L842" s="55"/>
      <c r="M842" s="38"/>
      <c r="N842" s="38"/>
      <c r="O842" s="38"/>
      <c r="P842" s="38"/>
    </row>
    <row r="843" ht="15.75" customHeight="1">
      <c r="D843" s="38"/>
      <c r="E843" s="38"/>
      <c r="F843" s="38"/>
      <c r="G843" s="38"/>
      <c r="H843" s="38"/>
      <c r="I843" s="38"/>
      <c r="J843" s="38"/>
      <c r="K843" s="38"/>
      <c r="L843" s="55"/>
      <c r="M843" s="38"/>
      <c r="N843" s="38"/>
      <c r="O843" s="38"/>
      <c r="P843" s="38"/>
    </row>
    <row r="844" ht="15.75" customHeight="1">
      <c r="D844" s="38"/>
      <c r="E844" s="38"/>
      <c r="F844" s="38"/>
      <c r="G844" s="38"/>
      <c r="H844" s="38"/>
      <c r="I844" s="38"/>
      <c r="J844" s="38"/>
      <c r="K844" s="38"/>
      <c r="L844" s="55"/>
      <c r="M844" s="38"/>
      <c r="N844" s="38"/>
      <c r="O844" s="38"/>
      <c r="P844" s="38"/>
    </row>
    <row r="845" ht="15.75" customHeight="1">
      <c r="D845" s="38"/>
      <c r="E845" s="38"/>
      <c r="F845" s="38"/>
      <c r="G845" s="38"/>
      <c r="H845" s="38"/>
      <c r="I845" s="38"/>
      <c r="J845" s="38"/>
      <c r="K845" s="38"/>
      <c r="L845" s="55"/>
      <c r="M845" s="38"/>
      <c r="N845" s="38"/>
      <c r="O845" s="38"/>
      <c r="P845" s="38"/>
    </row>
    <row r="846" ht="15.75" customHeight="1">
      <c r="D846" s="38"/>
      <c r="E846" s="38"/>
      <c r="F846" s="38"/>
      <c r="G846" s="38"/>
      <c r="H846" s="38"/>
      <c r="I846" s="38"/>
      <c r="J846" s="38"/>
      <c r="K846" s="38"/>
      <c r="L846" s="55"/>
      <c r="M846" s="38"/>
      <c r="N846" s="38"/>
      <c r="O846" s="38"/>
      <c r="P846" s="38"/>
    </row>
    <row r="847" ht="15.75" customHeight="1">
      <c r="D847" s="38"/>
      <c r="E847" s="38"/>
      <c r="F847" s="38"/>
      <c r="G847" s="38"/>
      <c r="H847" s="38"/>
      <c r="I847" s="38"/>
      <c r="J847" s="38"/>
      <c r="K847" s="38"/>
      <c r="L847" s="55"/>
      <c r="M847" s="38"/>
      <c r="N847" s="38"/>
      <c r="O847" s="38"/>
      <c r="P847" s="38"/>
    </row>
    <row r="848" ht="15.75" customHeight="1">
      <c r="D848" s="38"/>
      <c r="E848" s="38"/>
      <c r="F848" s="38"/>
      <c r="G848" s="38"/>
      <c r="H848" s="38"/>
      <c r="I848" s="38"/>
      <c r="J848" s="38"/>
      <c r="K848" s="38"/>
      <c r="L848" s="55"/>
      <c r="M848" s="38"/>
      <c r="N848" s="38"/>
      <c r="O848" s="38"/>
      <c r="P848" s="38"/>
    </row>
    <row r="849" ht="15.75" customHeight="1">
      <c r="D849" s="38"/>
      <c r="E849" s="38"/>
      <c r="F849" s="38"/>
      <c r="G849" s="38"/>
      <c r="H849" s="38"/>
      <c r="I849" s="38"/>
      <c r="J849" s="38"/>
      <c r="K849" s="38"/>
      <c r="L849" s="55"/>
      <c r="M849" s="38"/>
      <c r="N849" s="38"/>
      <c r="O849" s="38"/>
      <c r="P849" s="38"/>
    </row>
    <row r="850" ht="15.75" customHeight="1">
      <c r="D850" s="38"/>
      <c r="E850" s="38"/>
      <c r="F850" s="38"/>
      <c r="G850" s="38"/>
      <c r="H850" s="38"/>
      <c r="I850" s="38"/>
      <c r="J850" s="38"/>
      <c r="K850" s="38"/>
      <c r="L850" s="55"/>
      <c r="M850" s="38"/>
      <c r="N850" s="38"/>
      <c r="O850" s="38"/>
      <c r="P850" s="38"/>
    </row>
    <row r="851" ht="15.75" customHeight="1">
      <c r="D851" s="38"/>
      <c r="E851" s="38"/>
      <c r="F851" s="38"/>
      <c r="G851" s="38"/>
      <c r="H851" s="38"/>
      <c r="I851" s="38"/>
      <c r="J851" s="38"/>
      <c r="K851" s="38"/>
      <c r="L851" s="55"/>
      <c r="M851" s="38"/>
      <c r="N851" s="38"/>
      <c r="O851" s="38"/>
      <c r="P851" s="38"/>
    </row>
    <row r="852" ht="15.75" customHeight="1">
      <c r="D852" s="38"/>
      <c r="E852" s="38"/>
      <c r="F852" s="38"/>
      <c r="G852" s="38"/>
      <c r="H852" s="38"/>
      <c r="I852" s="38"/>
      <c r="J852" s="38"/>
      <c r="K852" s="38"/>
      <c r="L852" s="55"/>
      <c r="M852" s="38"/>
      <c r="N852" s="38"/>
      <c r="O852" s="38"/>
      <c r="P852" s="38"/>
    </row>
    <row r="853" ht="15.75" customHeight="1">
      <c r="D853" s="38"/>
      <c r="E853" s="38"/>
      <c r="F853" s="38"/>
      <c r="G853" s="38"/>
      <c r="H853" s="38"/>
      <c r="I853" s="38"/>
      <c r="J853" s="38"/>
      <c r="K853" s="38"/>
      <c r="L853" s="55"/>
      <c r="M853" s="38"/>
      <c r="N853" s="38"/>
      <c r="O853" s="38"/>
      <c r="P853" s="38"/>
    </row>
    <row r="854" ht="15.75" customHeight="1">
      <c r="D854" s="38"/>
      <c r="E854" s="38"/>
      <c r="F854" s="38"/>
      <c r="G854" s="38"/>
      <c r="H854" s="38"/>
      <c r="I854" s="38"/>
      <c r="J854" s="38"/>
      <c r="K854" s="38"/>
      <c r="L854" s="55"/>
      <c r="M854" s="38"/>
      <c r="N854" s="38"/>
      <c r="O854" s="38"/>
      <c r="P854" s="38"/>
    </row>
    <row r="855" ht="15.75" customHeight="1">
      <c r="D855" s="38"/>
      <c r="E855" s="38"/>
      <c r="F855" s="38"/>
      <c r="G855" s="38"/>
      <c r="H855" s="38"/>
      <c r="I855" s="38"/>
      <c r="J855" s="38"/>
      <c r="K855" s="38"/>
      <c r="L855" s="55"/>
      <c r="M855" s="38"/>
      <c r="N855" s="38"/>
      <c r="O855" s="38"/>
      <c r="P855" s="38"/>
    </row>
    <row r="856" ht="15.75" customHeight="1">
      <c r="D856" s="38"/>
      <c r="E856" s="38"/>
      <c r="F856" s="38"/>
      <c r="G856" s="38"/>
      <c r="H856" s="38"/>
      <c r="I856" s="38"/>
      <c r="J856" s="38"/>
      <c r="K856" s="38"/>
      <c r="L856" s="55"/>
      <c r="M856" s="38"/>
      <c r="N856" s="38"/>
      <c r="O856" s="38"/>
      <c r="P856" s="38"/>
    </row>
    <row r="857" ht="15.75" customHeight="1">
      <c r="D857" s="38"/>
      <c r="E857" s="38"/>
      <c r="F857" s="38"/>
      <c r="G857" s="38"/>
      <c r="H857" s="38"/>
      <c r="I857" s="38"/>
      <c r="J857" s="38"/>
      <c r="K857" s="38"/>
      <c r="L857" s="55"/>
      <c r="M857" s="38"/>
      <c r="N857" s="38"/>
      <c r="O857" s="38"/>
      <c r="P857" s="38"/>
    </row>
    <row r="858" ht="15.75" customHeight="1">
      <c r="D858" s="38"/>
      <c r="E858" s="38"/>
      <c r="F858" s="38"/>
      <c r="G858" s="38"/>
      <c r="H858" s="38"/>
      <c r="I858" s="38"/>
      <c r="J858" s="38"/>
      <c r="K858" s="38"/>
      <c r="L858" s="55"/>
      <c r="M858" s="38"/>
      <c r="N858" s="38"/>
      <c r="O858" s="38"/>
      <c r="P858" s="38"/>
    </row>
    <row r="859" ht="15.75" customHeight="1">
      <c r="D859" s="38"/>
      <c r="E859" s="38"/>
      <c r="F859" s="38"/>
      <c r="G859" s="38"/>
      <c r="H859" s="38"/>
      <c r="I859" s="38"/>
      <c r="J859" s="38"/>
      <c r="K859" s="38"/>
      <c r="L859" s="55"/>
      <c r="M859" s="38"/>
      <c r="N859" s="38"/>
      <c r="O859" s="38"/>
      <c r="P859" s="38"/>
    </row>
    <row r="860" ht="15.75" customHeight="1">
      <c r="D860" s="38"/>
      <c r="E860" s="38"/>
      <c r="F860" s="38"/>
      <c r="G860" s="38"/>
      <c r="H860" s="38"/>
      <c r="I860" s="38"/>
      <c r="J860" s="38"/>
      <c r="K860" s="38"/>
      <c r="L860" s="55"/>
      <c r="M860" s="38"/>
      <c r="N860" s="38"/>
      <c r="O860" s="38"/>
      <c r="P860" s="38"/>
    </row>
    <row r="861" ht="15.75" customHeight="1">
      <c r="D861" s="38"/>
      <c r="E861" s="38"/>
      <c r="F861" s="38"/>
      <c r="G861" s="38"/>
      <c r="H861" s="38"/>
      <c r="I861" s="38"/>
      <c r="J861" s="38"/>
      <c r="K861" s="38"/>
      <c r="L861" s="55"/>
      <c r="M861" s="38"/>
      <c r="N861" s="38"/>
      <c r="O861" s="38"/>
      <c r="P861" s="38"/>
    </row>
    <row r="862" ht="15.75" customHeight="1">
      <c r="D862" s="38"/>
      <c r="E862" s="38"/>
      <c r="F862" s="38"/>
      <c r="G862" s="38"/>
      <c r="H862" s="38"/>
      <c r="I862" s="38"/>
      <c r="J862" s="38"/>
      <c r="K862" s="38"/>
      <c r="L862" s="55"/>
      <c r="M862" s="38"/>
      <c r="N862" s="38"/>
      <c r="O862" s="38"/>
      <c r="P862" s="38"/>
    </row>
    <row r="863" ht="15.75" customHeight="1">
      <c r="D863" s="38"/>
      <c r="E863" s="38"/>
      <c r="F863" s="38"/>
      <c r="G863" s="38"/>
      <c r="H863" s="38"/>
      <c r="I863" s="38"/>
      <c r="J863" s="38"/>
      <c r="K863" s="38"/>
      <c r="L863" s="55"/>
      <c r="M863" s="38"/>
      <c r="N863" s="38"/>
      <c r="O863" s="38"/>
      <c r="P863" s="38"/>
    </row>
    <row r="864" ht="15.75" customHeight="1">
      <c r="D864" s="38"/>
      <c r="E864" s="38"/>
      <c r="F864" s="38"/>
      <c r="G864" s="38"/>
      <c r="H864" s="38"/>
      <c r="I864" s="38"/>
      <c r="J864" s="38"/>
      <c r="K864" s="38"/>
      <c r="L864" s="55"/>
      <c r="M864" s="38"/>
      <c r="N864" s="38"/>
      <c r="O864" s="38"/>
      <c r="P864" s="38"/>
    </row>
    <row r="865" ht="15.75" customHeight="1">
      <c r="D865" s="38"/>
      <c r="E865" s="38"/>
      <c r="F865" s="38"/>
      <c r="G865" s="38"/>
      <c r="H865" s="38"/>
      <c r="I865" s="38"/>
      <c r="J865" s="38"/>
      <c r="K865" s="38"/>
      <c r="L865" s="55"/>
      <c r="M865" s="38"/>
      <c r="N865" s="38"/>
      <c r="O865" s="38"/>
      <c r="P865" s="38"/>
    </row>
    <row r="866" ht="15.75" customHeight="1">
      <c r="D866" s="38"/>
      <c r="E866" s="38"/>
      <c r="F866" s="38"/>
      <c r="G866" s="38"/>
      <c r="H866" s="38"/>
      <c r="I866" s="38"/>
      <c r="J866" s="38"/>
      <c r="K866" s="38"/>
      <c r="L866" s="55"/>
      <c r="M866" s="38"/>
      <c r="N866" s="38"/>
      <c r="O866" s="38"/>
      <c r="P866" s="38"/>
    </row>
    <row r="867" ht="15.75" customHeight="1">
      <c r="D867" s="38"/>
      <c r="E867" s="38"/>
      <c r="F867" s="38"/>
      <c r="G867" s="38"/>
      <c r="H867" s="38"/>
      <c r="I867" s="38"/>
      <c r="J867" s="38"/>
      <c r="K867" s="38"/>
      <c r="L867" s="55"/>
      <c r="M867" s="38"/>
      <c r="N867" s="38"/>
      <c r="O867" s="38"/>
      <c r="P867" s="38"/>
    </row>
    <row r="868" ht="15.75" customHeight="1">
      <c r="D868" s="38"/>
      <c r="E868" s="38"/>
      <c r="F868" s="38"/>
      <c r="G868" s="38"/>
      <c r="H868" s="38"/>
      <c r="I868" s="38"/>
      <c r="J868" s="38"/>
      <c r="K868" s="38"/>
      <c r="L868" s="55"/>
      <c r="M868" s="38"/>
      <c r="N868" s="38"/>
      <c r="O868" s="38"/>
      <c r="P868" s="38"/>
    </row>
    <row r="869" ht="15.75" customHeight="1">
      <c r="D869" s="38"/>
      <c r="E869" s="38"/>
      <c r="F869" s="38"/>
      <c r="G869" s="38"/>
      <c r="H869" s="38"/>
      <c r="I869" s="38"/>
      <c r="J869" s="38"/>
      <c r="K869" s="38"/>
      <c r="L869" s="55"/>
      <c r="M869" s="38"/>
      <c r="N869" s="38"/>
      <c r="O869" s="38"/>
      <c r="P869" s="38"/>
    </row>
    <row r="870" ht="15.75" customHeight="1">
      <c r="D870" s="38"/>
      <c r="E870" s="38"/>
      <c r="F870" s="38"/>
      <c r="G870" s="38"/>
      <c r="H870" s="38"/>
      <c r="I870" s="38"/>
      <c r="J870" s="38"/>
      <c r="K870" s="38"/>
      <c r="L870" s="55"/>
      <c r="M870" s="38"/>
      <c r="N870" s="38"/>
      <c r="O870" s="38"/>
      <c r="P870" s="38"/>
    </row>
    <row r="871" ht="15.75" customHeight="1">
      <c r="D871" s="38"/>
      <c r="E871" s="38"/>
      <c r="F871" s="38"/>
      <c r="G871" s="38"/>
      <c r="H871" s="38"/>
      <c r="I871" s="38"/>
      <c r="J871" s="38"/>
      <c r="K871" s="38"/>
      <c r="L871" s="55"/>
      <c r="M871" s="38"/>
      <c r="N871" s="38"/>
      <c r="O871" s="38"/>
      <c r="P871" s="38"/>
    </row>
    <row r="872" ht="15.75" customHeight="1">
      <c r="D872" s="38"/>
      <c r="E872" s="38"/>
      <c r="F872" s="38"/>
      <c r="G872" s="38"/>
      <c r="H872" s="38"/>
      <c r="I872" s="38"/>
      <c r="J872" s="38"/>
      <c r="K872" s="38"/>
      <c r="L872" s="55"/>
      <c r="M872" s="38"/>
      <c r="N872" s="38"/>
      <c r="O872" s="38"/>
      <c r="P872" s="38"/>
    </row>
    <row r="873" ht="15.75" customHeight="1">
      <c r="D873" s="38"/>
      <c r="E873" s="38"/>
      <c r="F873" s="38"/>
      <c r="G873" s="38"/>
      <c r="H873" s="38"/>
      <c r="I873" s="38"/>
      <c r="J873" s="38"/>
      <c r="K873" s="38"/>
      <c r="L873" s="55"/>
      <c r="M873" s="38"/>
      <c r="N873" s="38"/>
      <c r="O873" s="38"/>
      <c r="P873" s="38"/>
    </row>
    <row r="874" ht="15.75" customHeight="1">
      <c r="D874" s="38"/>
      <c r="E874" s="38"/>
      <c r="F874" s="38"/>
      <c r="G874" s="38"/>
      <c r="H874" s="38"/>
      <c r="I874" s="38"/>
      <c r="J874" s="38"/>
      <c r="K874" s="38"/>
      <c r="L874" s="55"/>
      <c r="M874" s="38"/>
      <c r="N874" s="38"/>
      <c r="O874" s="38"/>
      <c r="P874" s="38"/>
    </row>
    <row r="875" ht="15.75" customHeight="1">
      <c r="D875" s="38"/>
      <c r="E875" s="38"/>
      <c r="F875" s="38"/>
      <c r="G875" s="38"/>
      <c r="H875" s="38"/>
      <c r="I875" s="38"/>
      <c r="J875" s="38"/>
      <c r="K875" s="38"/>
      <c r="L875" s="55"/>
      <c r="M875" s="38"/>
      <c r="N875" s="38"/>
      <c r="O875" s="38"/>
      <c r="P875" s="38"/>
    </row>
    <row r="876" ht="15.75" customHeight="1">
      <c r="D876" s="38"/>
      <c r="E876" s="38"/>
      <c r="F876" s="38"/>
      <c r="G876" s="38"/>
      <c r="H876" s="38"/>
      <c r="I876" s="38"/>
      <c r="J876" s="38"/>
      <c r="K876" s="38"/>
      <c r="L876" s="55"/>
      <c r="M876" s="38"/>
      <c r="N876" s="38"/>
      <c r="O876" s="38"/>
      <c r="P876" s="38"/>
    </row>
    <row r="877" ht="15.75" customHeight="1">
      <c r="D877" s="38"/>
      <c r="E877" s="38"/>
      <c r="F877" s="38"/>
      <c r="G877" s="38"/>
      <c r="H877" s="38"/>
      <c r="I877" s="38"/>
      <c r="J877" s="38"/>
      <c r="K877" s="38"/>
      <c r="L877" s="55"/>
      <c r="M877" s="38"/>
      <c r="N877" s="38"/>
      <c r="O877" s="38"/>
      <c r="P877" s="38"/>
    </row>
    <row r="878" ht="15.75" customHeight="1">
      <c r="D878" s="38"/>
      <c r="E878" s="38"/>
      <c r="F878" s="38"/>
      <c r="G878" s="38"/>
      <c r="H878" s="38"/>
      <c r="I878" s="38"/>
      <c r="J878" s="38"/>
      <c r="K878" s="38"/>
      <c r="L878" s="55"/>
      <c r="M878" s="38"/>
      <c r="N878" s="38"/>
      <c r="O878" s="38"/>
      <c r="P878" s="38"/>
    </row>
    <row r="879" ht="15.75" customHeight="1">
      <c r="D879" s="38"/>
      <c r="E879" s="38"/>
      <c r="F879" s="38"/>
      <c r="G879" s="38"/>
      <c r="H879" s="38"/>
      <c r="I879" s="38"/>
      <c r="J879" s="38"/>
      <c r="K879" s="38"/>
      <c r="L879" s="55"/>
      <c r="M879" s="38"/>
      <c r="N879" s="38"/>
      <c r="O879" s="38"/>
      <c r="P879" s="38"/>
    </row>
    <row r="880" ht="15.75" customHeight="1">
      <c r="D880" s="38"/>
      <c r="E880" s="38"/>
      <c r="F880" s="38"/>
      <c r="G880" s="38"/>
      <c r="H880" s="38"/>
      <c r="I880" s="38"/>
      <c r="J880" s="38"/>
      <c r="K880" s="38"/>
      <c r="L880" s="55"/>
      <c r="M880" s="38"/>
      <c r="N880" s="38"/>
      <c r="O880" s="38"/>
      <c r="P880" s="38"/>
    </row>
    <row r="881" ht="15.75" customHeight="1">
      <c r="D881" s="38"/>
      <c r="E881" s="38"/>
      <c r="F881" s="38"/>
      <c r="G881" s="38"/>
      <c r="H881" s="38"/>
      <c r="I881" s="38"/>
      <c r="J881" s="38"/>
      <c r="K881" s="38"/>
      <c r="L881" s="55"/>
      <c r="M881" s="38"/>
      <c r="N881" s="38"/>
      <c r="O881" s="38"/>
      <c r="P881" s="38"/>
    </row>
    <row r="882" ht="15.75" customHeight="1">
      <c r="D882" s="38"/>
      <c r="E882" s="38"/>
      <c r="F882" s="38"/>
      <c r="G882" s="38"/>
      <c r="H882" s="38"/>
      <c r="I882" s="38"/>
      <c r="J882" s="38"/>
      <c r="K882" s="38"/>
      <c r="L882" s="55"/>
      <c r="M882" s="38"/>
      <c r="N882" s="38"/>
      <c r="O882" s="38"/>
      <c r="P882" s="38"/>
    </row>
    <row r="883" ht="15.75" customHeight="1">
      <c r="D883" s="38"/>
      <c r="E883" s="38"/>
      <c r="F883" s="38"/>
      <c r="G883" s="38"/>
      <c r="H883" s="38"/>
      <c r="I883" s="38"/>
      <c r="J883" s="38"/>
      <c r="K883" s="38"/>
      <c r="L883" s="55"/>
      <c r="M883" s="38"/>
      <c r="N883" s="38"/>
      <c r="O883" s="38"/>
      <c r="P883" s="38"/>
    </row>
    <row r="884" ht="15.75" customHeight="1">
      <c r="D884" s="38"/>
      <c r="E884" s="38"/>
      <c r="F884" s="38"/>
      <c r="G884" s="38"/>
      <c r="H884" s="38"/>
      <c r="I884" s="38"/>
      <c r="J884" s="38"/>
      <c r="K884" s="38"/>
      <c r="L884" s="55"/>
      <c r="M884" s="38"/>
      <c r="N884" s="38"/>
      <c r="O884" s="38"/>
      <c r="P884" s="38"/>
    </row>
    <row r="885" ht="15.75" customHeight="1">
      <c r="D885" s="38"/>
      <c r="E885" s="38"/>
      <c r="F885" s="38"/>
      <c r="G885" s="38"/>
      <c r="H885" s="38"/>
      <c r="I885" s="38"/>
      <c r="J885" s="38"/>
      <c r="K885" s="38"/>
      <c r="L885" s="55"/>
      <c r="M885" s="38"/>
      <c r="N885" s="38"/>
      <c r="O885" s="38"/>
      <c r="P885" s="38"/>
    </row>
    <row r="886" ht="15.75" customHeight="1">
      <c r="D886" s="38"/>
      <c r="E886" s="38"/>
      <c r="F886" s="38"/>
      <c r="G886" s="38"/>
      <c r="H886" s="38"/>
      <c r="I886" s="38"/>
      <c r="J886" s="38"/>
      <c r="K886" s="38"/>
      <c r="L886" s="55"/>
      <c r="M886" s="38"/>
      <c r="N886" s="38"/>
      <c r="O886" s="38"/>
      <c r="P886" s="38"/>
    </row>
    <row r="887" ht="15.75" customHeight="1">
      <c r="D887" s="38"/>
      <c r="E887" s="38"/>
      <c r="F887" s="38"/>
      <c r="G887" s="38"/>
      <c r="H887" s="38"/>
      <c r="I887" s="38"/>
      <c r="J887" s="38"/>
      <c r="K887" s="38"/>
      <c r="L887" s="55"/>
      <c r="M887" s="38"/>
      <c r="N887" s="38"/>
      <c r="O887" s="38"/>
      <c r="P887" s="38"/>
    </row>
    <row r="888" ht="15.75" customHeight="1">
      <c r="D888" s="38"/>
      <c r="E888" s="38"/>
      <c r="F888" s="38"/>
      <c r="G888" s="38"/>
      <c r="H888" s="38"/>
      <c r="I888" s="38"/>
      <c r="J888" s="38"/>
      <c r="K888" s="38"/>
      <c r="L888" s="55"/>
      <c r="M888" s="38"/>
      <c r="N888" s="38"/>
      <c r="O888" s="38"/>
      <c r="P888" s="38"/>
    </row>
    <row r="889" ht="15.75" customHeight="1">
      <c r="D889" s="38"/>
      <c r="E889" s="38"/>
      <c r="F889" s="38"/>
      <c r="G889" s="38"/>
      <c r="H889" s="38"/>
      <c r="I889" s="38"/>
      <c r="J889" s="38"/>
      <c r="K889" s="38"/>
      <c r="L889" s="55"/>
      <c r="M889" s="38"/>
      <c r="N889" s="38"/>
      <c r="O889" s="38"/>
      <c r="P889" s="38"/>
    </row>
    <row r="890" ht="15.75" customHeight="1">
      <c r="D890" s="38"/>
      <c r="E890" s="38"/>
      <c r="F890" s="38"/>
      <c r="G890" s="38"/>
      <c r="H890" s="38"/>
      <c r="I890" s="38"/>
      <c r="J890" s="38"/>
      <c r="K890" s="38"/>
      <c r="L890" s="55"/>
      <c r="M890" s="38"/>
      <c r="N890" s="38"/>
      <c r="O890" s="38"/>
      <c r="P890" s="38"/>
    </row>
    <row r="891" ht="15.75" customHeight="1">
      <c r="D891" s="38"/>
      <c r="E891" s="38"/>
      <c r="F891" s="38"/>
      <c r="G891" s="38"/>
      <c r="H891" s="38"/>
      <c r="I891" s="38"/>
      <c r="J891" s="38"/>
      <c r="K891" s="38"/>
      <c r="L891" s="55"/>
      <c r="M891" s="38"/>
      <c r="N891" s="38"/>
      <c r="O891" s="38"/>
      <c r="P891" s="38"/>
    </row>
    <row r="892" ht="15.75" customHeight="1">
      <c r="D892" s="38"/>
      <c r="E892" s="38"/>
      <c r="F892" s="38"/>
      <c r="G892" s="38"/>
      <c r="H892" s="38"/>
      <c r="I892" s="38"/>
      <c r="J892" s="38"/>
      <c r="K892" s="38"/>
      <c r="L892" s="55"/>
      <c r="M892" s="38"/>
      <c r="N892" s="38"/>
      <c r="O892" s="38"/>
      <c r="P892" s="38"/>
    </row>
    <row r="893" ht="15.75" customHeight="1">
      <c r="D893" s="38"/>
      <c r="E893" s="38"/>
      <c r="F893" s="38"/>
      <c r="G893" s="38"/>
      <c r="H893" s="38"/>
      <c r="I893" s="38"/>
      <c r="J893" s="38"/>
      <c r="K893" s="38"/>
      <c r="L893" s="55"/>
      <c r="M893" s="38"/>
      <c r="N893" s="38"/>
      <c r="O893" s="38"/>
      <c r="P893" s="38"/>
    </row>
    <row r="894" ht="15.75" customHeight="1">
      <c r="D894" s="38"/>
      <c r="E894" s="38"/>
      <c r="F894" s="38"/>
      <c r="G894" s="38"/>
      <c r="H894" s="38"/>
      <c r="I894" s="38"/>
      <c r="J894" s="38"/>
      <c r="K894" s="38"/>
      <c r="L894" s="55"/>
      <c r="M894" s="38"/>
      <c r="N894" s="38"/>
      <c r="O894" s="38"/>
      <c r="P894" s="38"/>
    </row>
    <row r="895" ht="15.75" customHeight="1">
      <c r="D895" s="38"/>
      <c r="E895" s="38"/>
      <c r="F895" s="38"/>
      <c r="G895" s="38"/>
      <c r="H895" s="38"/>
      <c r="I895" s="38"/>
      <c r="J895" s="38"/>
      <c r="K895" s="38"/>
      <c r="L895" s="55"/>
      <c r="M895" s="38"/>
      <c r="N895" s="38"/>
      <c r="O895" s="38"/>
      <c r="P895" s="38"/>
    </row>
    <row r="896" ht="15.75" customHeight="1">
      <c r="D896" s="38"/>
      <c r="E896" s="38"/>
      <c r="F896" s="38"/>
      <c r="G896" s="38"/>
      <c r="H896" s="38"/>
      <c r="I896" s="38"/>
      <c r="J896" s="38"/>
      <c r="K896" s="38"/>
      <c r="L896" s="55"/>
      <c r="M896" s="38"/>
      <c r="N896" s="38"/>
      <c r="O896" s="38"/>
      <c r="P896" s="38"/>
    </row>
    <row r="897" ht="15.75" customHeight="1">
      <c r="D897" s="38"/>
      <c r="E897" s="38"/>
      <c r="F897" s="38"/>
      <c r="G897" s="38"/>
      <c r="H897" s="38"/>
      <c r="I897" s="38"/>
      <c r="J897" s="38"/>
      <c r="K897" s="38"/>
      <c r="L897" s="55"/>
      <c r="M897" s="38"/>
      <c r="N897" s="38"/>
      <c r="O897" s="38"/>
      <c r="P897" s="38"/>
    </row>
    <row r="898" ht="15.75" customHeight="1">
      <c r="D898" s="38"/>
      <c r="E898" s="38"/>
      <c r="F898" s="38"/>
      <c r="G898" s="38"/>
      <c r="H898" s="38"/>
      <c r="I898" s="38"/>
      <c r="J898" s="38"/>
      <c r="K898" s="38"/>
      <c r="L898" s="55"/>
      <c r="M898" s="38"/>
      <c r="N898" s="38"/>
      <c r="O898" s="38"/>
      <c r="P898" s="38"/>
    </row>
    <row r="899" ht="15.75" customHeight="1">
      <c r="D899" s="38"/>
      <c r="E899" s="38"/>
      <c r="F899" s="38"/>
      <c r="G899" s="38"/>
      <c r="H899" s="38"/>
      <c r="I899" s="38"/>
      <c r="J899" s="38"/>
      <c r="K899" s="38"/>
      <c r="L899" s="55"/>
      <c r="M899" s="38"/>
      <c r="N899" s="38"/>
      <c r="O899" s="38"/>
      <c r="P899" s="38"/>
    </row>
    <row r="900" ht="15.75" customHeight="1">
      <c r="D900" s="38"/>
      <c r="E900" s="38"/>
      <c r="F900" s="38"/>
      <c r="G900" s="38"/>
      <c r="H900" s="38"/>
      <c r="I900" s="38"/>
      <c r="J900" s="38"/>
      <c r="K900" s="38"/>
      <c r="L900" s="55"/>
      <c r="M900" s="38"/>
      <c r="N900" s="38"/>
      <c r="O900" s="38"/>
      <c r="P900" s="38"/>
    </row>
    <row r="901" ht="15.75" customHeight="1">
      <c r="D901" s="38"/>
      <c r="E901" s="38"/>
      <c r="F901" s="38"/>
      <c r="G901" s="38"/>
      <c r="H901" s="38"/>
      <c r="I901" s="38"/>
      <c r="J901" s="38"/>
      <c r="K901" s="38"/>
      <c r="L901" s="55"/>
      <c r="M901" s="38"/>
      <c r="N901" s="38"/>
      <c r="O901" s="38"/>
      <c r="P901" s="38"/>
    </row>
    <row r="902" ht="15.75" customHeight="1">
      <c r="D902" s="38"/>
      <c r="E902" s="38"/>
      <c r="F902" s="38"/>
      <c r="G902" s="38"/>
      <c r="H902" s="38"/>
      <c r="I902" s="38"/>
      <c r="J902" s="38"/>
      <c r="K902" s="38"/>
      <c r="L902" s="55"/>
      <c r="M902" s="38"/>
      <c r="N902" s="38"/>
      <c r="O902" s="38"/>
      <c r="P902" s="38"/>
    </row>
    <row r="903" ht="15.75" customHeight="1">
      <c r="D903" s="38"/>
      <c r="E903" s="38"/>
      <c r="F903" s="38"/>
      <c r="G903" s="38"/>
      <c r="H903" s="38"/>
      <c r="I903" s="38"/>
      <c r="J903" s="38"/>
      <c r="K903" s="38"/>
      <c r="L903" s="55"/>
      <c r="M903" s="38"/>
      <c r="N903" s="38"/>
      <c r="O903" s="38"/>
      <c r="P903" s="38"/>
    </row>
    <row r="904" ht="15.75" customHeight="1">
      <c r="D904" s="38"/>
      <c r="E904" s="38"/>
      <c r="F904" s="38"/>
      <c r="G904" s="38"/>
      <c r="H904" s="38"/>
      <c r="I904" s="38"/>
      <c r="J904" s="38"/>
      <c r="K904" s="38"/>
      <c r="L904" s="55"/>
      <c r="M904" s="38"/>
      <c r="N904" s="38"/>
      <c r="O904" s="38"/>
      <c r="P904" s="38"/>
    </row>
    <row r="905" ht="15.75" customHeight="1">
      <c r="D905" s="38"/>
      <c r="E905" s="38"/>
      <c r="F905" s="38"/>
      <c r="G905" s="38"/>
      <c r="H905" s="38"/>
      <c r="I905" s="38"/>
      <c r="J905" s="38"/>
      <c r="K905" s="38"/>
      <c r="L905" s="55"/>
      <c r="M905" s="38"/>
      <c r="N905" s="38"/>
      <c r="O905" s="38"/>
      <c r="P905" s="38"/>
    </row>
    <row r="906" ht="15.75" customHeight="1">
      <c r="D906" s="38"/>
      <c r="E906" s="38"/>
      <c r="F906" s="38"/>
      <c r="G906" s="38"/>
      <c r="H906" s="38"/>
      <c r="I906" s="38"/>
      <c r="J906" s="38"/>
      <c r="K906" s="38"/>
      <c r="L906" s="55"/>
      <c r="M906" s="38"/>
      <c r="N906" s="38"/>
      <c r="O906" s="38"/>
      <c r="P906" s="38"/>
    </row>
    <row r="907" ht="15.75" customHeight="1">
      <c r="D907" s="38"/>
      <c r="E907" s="38"/>
      <c r="F907" s="38"/>
      <c r="G907" s="38"/>
      <c r="H907" s="38"/>
      <c r="I907" s="38"/>
      <c r="J907" s="38"/>
      <c r="K907" s="38"/>
      <c r="L907" s="55"/>
      <c r="M907" s="38"/>
      <c r="N907" s="38"/>
      <c r="O907" s="38"/>
      <c r="P907" s="38"/>
    </row>
    <row r="908" ht="15.75" customHeight="1">
      <c r="D908" s="38"/>
      <c r="E908" s="38"/>
      <c r="F908" s="38"/>
      <c r="G908" s="38"/>
      <c r="H908" s="38"/>
      <c r="I908" s="38"/>
      <c r="J908" s="38"/>
      <c r="K908" s="38"/>
      <c r="L908" s="55"/>
      <c r="M908" s="38"/>
      <c r="N908" s="38"/>
      <c r="O908" s="38"/>
      <c r="P908" s="38"/>
    </row>
    <row r="909" ht="15.75" customHeight="1">
      <c r="D909" s="38"/>
      <c r="E909" s="38"/>
      <c r="F909" s="38"/>
      <c r="G909" s="38"/>
      <c r="H909" s="38"/>
      <c r="I909" s="38"/>
      <c r="J909" s="38"/>
      <c r="K909" s="38"/>
      <c r="L909" s="55"/>
      <c r="M909" s="38"/>
      <c r="N909" s="38"/>
      <c r="O909" s="38"/>
      <c r="P909" s="38"/>
    </row>
    <row r="910" ht="15.75" customHeight="1">
      <c r="D910" s="38"/>
      <c r="E910" s="38"/>
      <c r="F910" s="38"/>
      <c r="G910" s="38"/>
      <c r="H910" s="38"/>
      <c r="I910" s="38"/>
      <c r="J910" s="38"/>
      <c r="K910" s="38"/>
      <c r="L910" s="55"/>
      <c r="M910" s="38"/>
      <c r="N910" s="38"/>
      <c r="O910" s="38"/>
      <c r="P910" s="38"/>
    </row>
    <row r="911" ht="15.75" customHeight="1">
      <c r="D911" s="38"/>
      <c r="E911" s="38"/>
      <c r="F911" s="38"/>
      <c r="G911" s="38"/>
      <c r="H911" s="38"/>
      <c r="I911" s="38"/>
      <c r="J911" s="38"/>
      <c r="K911" s="38"/>
      <c r="L911" s="55"/>
      <c r="M911" s="38"/>
      <c r="N911" s="38"/>
      <c r="O911" s="38"/>
      <c r="P911" s="38"/>
    </row>
    <row r="912" ht="15.75" customHeight="1">
      <c r="D912" s="38"/>
      <c r="E912" s="38"/>
      <c r="F912" s="38"/>
      <c r="G912" s="38"/>
      <c r="H912" s="38"/>
      <c r="I912" s="38"/>
      <c r="J912" s="38"/>
      <c r="K912" s="38"/>
      <c r="L912" s="55"/>
      <c r="M912" s="38"/>
      <c r="N912" s="38"/>
      <c r="O912" s="38"/>
      <c r="P912" s="38"/>
    </row>
    <row r="913" ht="15.75" customHeight="1">
      <c r="D913" s="38"/>
      <c r="E913" s="38"/>
      <c r="F913" s="38"/>
      <c r="G913" s="38"/>
      <c r="H913" s="38"/>
      <c r="I913" s="38"/>
      <c r="J913" s="38"/>
      <c r="K913" s="38"/>
      <c r="L913" s="55"/>
      <c r="M913" s="38"/>
      <c r="N913" s="38"/>
      <c r="O913" s="38"/>
      <c r="P913" s="38"/>
    </row>
    <row r="914" ht="15.75" customHeight="1">
      <c r="D914" s="38"/>
      <c r="E914" s="38"/>
      <c r="F914" s="38"/>
      <c r="G914" s="38"/>
      <c r="H914" s="38"/>
      <c r="I914" s="38"/>
      <c r="J914" s="38"/>
      <c r="K914" s="38"/>
      <c r="L914" s="55"/>
      <c r="M914" s="38"/>
      <c r="N914" s="38"/>
      <c r="O914" s="38"/>
      <c r="P914" s="38"/>
    </row>
    <row r="915" ht="15.75" customHeight="1">
      <c r="D915" s="38"/>
      <c r="E915" s="38"/>
      <c r="F915" s="38"/>
      <c r="G915" s="38"/>
      <c r="H915" s="38"/>
      <c r="I915" s="38"/>
      <c r="J915" s="38"/>
      <c r="K915" s="38"/>
      <c r="L915" s="55"/>
      <c r="M915" s="38"/>
      <c r="N915" s="38"/>
      <c r="O915" s="38"/>
      <c r="P915" s="38"/>
    </row>
    <row r="916" ht="15.75" customHeight="1">
      <c r="D916" s="38"/>
      <c r="E916" s="38"/>
      <c r="F916" s="38"/>
      <c r="G916" s="38"/>
      <c r="H916" s="38"/>
      <c r="I916" s="38"/>
      <c r="J916" s="38"/>
      <c r="K916" s="38"/>
      <c r="L916" s="55"/>
      <c r="M916" s="38"/>
      <c r="N916" s="38"/>
      <c r="O916" s="38"/>
      <c r="P916" s="38"/>
    </row>
    <row r="917" ht="15.75" customHeight="1">
      <c r="D917" s="38"/>
      <c r="E917" s="38"/>
      <c r="F917" s="38"/>
      <c r="G917" s="38"/>
      <c r="H917" s="38"/>
      <c r="I917" s="38"/>
      <c r="J917" s="38"/>
      <c r="K917" s="38"/>
      <c r="L917" s="55"/>
      <c r="M917" s="38"/>
      <c r="N917" s="38"/>
      <c r="O917" s="38"/>
      <c r="P917" s="38"/>
    </row>
    <row r="918" ht="15.75" customHeight="1">
      <c r="D918" s="38"/>
      <c r="E918" s="38"/>
      <c r="F918" s="38"/>
      <c r="G918" s="38"/>
      <c r="H918" s="38"/>
      <c r="I918" s="38"/>
      <c r="J918" s="38"/>
      <c r="K918" s="38"/>
      <c r="L918" s="55"/>
      <c r="M918" s="38"/>
      <c r="N918" s="38"/>
      <c r="O918" s="38"/>
      <c r="P918" s="38"/>
    </row>
    <row r="919" ht="15.75" customHeight="1">
      <c r="D919" s="38"/>
      <c r="E919" s="38"/>
      <c r="F919" s="38"/>
      <c r="G919" s="38"/>
      <c r="H919" s="38"/>
      <c r="I919" s="38"/>
      <c r="J919" s="38"/>
      <c r="K919" s="38"/>
      <c r="L919" s="55"/>
      <c r="M919" s="38"/>
      <c r="N919" s="38"/>
      <c r="O919" s="38"/>
      <c r="P919" s="38"/>
    </row>
    <row r="920" ht="15.75" customHeight="1">
      <c r="D920" s="38"/>
      <c r="E920" s="38"/>
      <c r="F920" s="38"/>
      <c r="G920" s="38"/>
      <c r="H920" s="38"/>
      <c r="I920" s="38"/>
      <c r="J920" s="38"/>
      <c r="K920" s="38"/>
      <c r="L920" s="55"/>
      <c r="M920" s="38"/>
      <c r="N920" s="38"/>
      <c r="O920" s="38"/>
      <c r="P920" s="38"/>
    </row>
    <row r="921" ht="15.75" customHeight="1">
      <c r="D921" s="38"/>
      <c r="E921" s="38"/>
      <c r="F921" s="38"/>
      <c r="G921" s="38"/>
      <c r="H921" s="38"/>
      <c r="I921" s="38"/>
      <c r="J921" s="38"/>
      <c r="K921" s="38"/>
      <c r="L921" s="55"/>
      <c r="M921" s="38"/>
      <c r="N921" s="38"/>
      <c r="O921" s="38"/>
      <c r="P921" s="38"/>
    </row>
    <row r="922" ht="15.75" customHeight="1">
      <c r="D922" s="38"/>
      <c r="E922" s="38"/>
      <c r="F922" s="38"/>
      <c r="G922" s="38"/>
      <c r="H922" s="38"/>
      <c r="I922" s="38"/>
      <c r="J922" s="38"/>
      <c r="K922" s="38"/>
      <c r="L922" s="55"/>
      <c r="M922" s="38"/>
      <c r="N922" s="38"/>
      <c r="O922" s="38"/>
      <c r="P922" s="38"/>
    </row>
    <row r="923" ht="15.75" customHeight="1">
      <c r="D923" s="38"/>
      <c r="E923" s="38"/>
      <c r="F923" s="38"/>
      <c r="G923" s="38"/>
      <c r="H923" s="38"/>
      <c r="I923" s="38"/>
      <c r="J923" s="38"/>
      <c r="K923" s="38"/>
      <c r="L923" s="55"/>
      <c r="M923" s="38"/>
      <c r="N923" s="38"/>
      <c r="O923" s="38"/>
      <c r="P923" s="38"/>
    </row>
    <row r="924" ht="15.75" customHeight="1">
      <c r="D924" s="38"/>
      <c r="E924" s="38"/>
      <c r="F924" s="38"/>
      <c r="G924" s="38"/>
      <c r="H924" s="38"/>
      <c r="I924" s="38"/>
      <c r="J924" s="38"/>
      <c r="K924" s="38"/>
      <c r="L924" s="55"/>
      <c r="M924" s="38"/>
      <c r="N924" s="38"/>
      <c r="O924" s="38"/>
      <c r="P924" s="38"/>
    </row>
    <row r="925" ht="15.75" customHeight="1">
      <c r="D925" s="38"/>
      <c r="E925" s="38"/>
      <c r="F925" s="38"/>
      <c r="G925" s="38"/>
      <c r="H925" s="38"/>
      <c r="I925" s="38"/>
      <c r="J925" s="38"/>
      <c r="K925" s="38"/>
      <c r="L925" s="55"/>
      <c r="M925" s="38"/>
      <c r="N925" s="38"/>
      <c r="O925" s="38"/>
      <c r="P925" s="38"/>
    </row>
    <row r="926" ht="15.75" customHeight="1">
      <c r="D926" s="38"/>
      <c r="E926" s="38"/>
      <c r="F926" s="38"/>
      <c r="G926" s="38"/>
      <c r="H926" s="38"/>
      <c r="I926" s="38"/>
      <c r="J926" s="38"/>
      <c r="K926" s="38"/>
      <c r="L926" s="55"/>
      <c r="M926" s="38"/>
      <c r="N926" s="38"/>
      <c r="O926" s="38"/>
      <c r="P926" s="38"/>
    </row>
    <row r="927" ht="15.75" customHeight="1">
      <c r="D927" s="38"/>
      <c r="E927" s="38"/>
      <c r="F927" s="38"/>
      <c r="G927" s="38"/>
      <c r="H927" s="38"/>
      <c r="I927" s="38"/>
      <c r="J927" s="38"/>
      <c r="K927" s="38"/>
      <c r="L927" s="55"/>
      <c r="M927" s="38"/>
      <c r="N927" s="38"/>
      <c r="O927" s="38"/>
      <c r="P927" s="38"/>
    </row>
    <row r="928" ht="15.75" customHeight="1">
      <c r="D928" s="38"/>
      <c r="E928" s="38"/>
      <c r="F928" s="38"/>
      <c r="G928" s="38"/>
      <c r="H928" s="38"/>
      <c r="I928" s="38"/>
      <c r="J928" s="38"/>
      <c r="K928" s="38"/>
      <c r="L928" s="55"/>
      <c r="M928" s="38"/>
      <c r="N928" s="38"/>
      <c r="O928" s="38"/>
      <c r="P928" s="38"/>
    </row>
    <row r="929" ht="15.75" customHeight="1">
      <c r="D929" s="38"/>
      <c r="E929" s="38"/>
      <c r="F929" s="38"/>
      <c r="G929" s="38"/>
      <c r="H929" s="38"/>
      <c r="I929" s="38"/>
      <c r="J929" s="38"/>
      <c r="K929" s="38"/>
      <c r="L929" s="55"/>
      <c r="M929" s="38"/>
      <c r="N929" s="38"/>
      <c r="O929" s="38"/>
      <c r="P929" s="38"/>
    </row>
    <row r="930" ht="15.75" customHeight="1">
      <c r="D930" s="38"/>
      <c r="E930" s="38"/>
      <c r="F930" s="38"/>
      <c r="G930" s="38"/>
      <c r="H930" s="38"/>
      <c r="I930" s="38"/>
      <c r="J930" s="38"/>
      <c r="K930" s="38"/>
      <c r="L930" s="55"/>
      <c r="M930" s="38"/>
      <c r="N930" s="38"/>
      <c r="O930" s="38"/>
      <c r="P930" s="38"/>
    </row>
    <row r="931" ht="15.75" customHeight="1">
      <c r="D931" s="38"/>
      <c r="E931" s="38"/>
      <c r="F931" s="38"/>
      <c r="G931" s="38"/>
      <c r="H931" s="38"/>
      <c r="I931" s="38"/>
      <c r="J931" s="38"/>
      <c r="K931" s="38"/>
      <c r="L931" s="55"/>
      <c r="M931" s="38"/>
      <c r="N931" s="38"/>
      <c r="O931" s="38"/>
      <c r="P931" s="38"/>
    </row>
    <row r="932" ht="15.75" customHeight="1">
      <c r="D932" s="38"/>
      <c r="E932" s="38"/>
      <c r="F932" s="38"/>
      <c r="G932" s="38"/>
      <c r="H932" s="38"/>
      <c r="I932" s="38"/>
      <c r="J932" s="38"/>
      <c r="K932" s="38"/>
      <c r="L932" s="55"/>
      <c r="M932" s="38"/>
      <c r="N932" s="38"/>
      <c r="O932" s="38"/>
      <c r="P932" s="38"/>
    </row>
    <row r="933" ht="15.75" customHeight="1">
      <c r="D933" s="38"/>
      <c r="E933" s="38"/>
      <c r="F933" s="38"/>
      <c r="G933" s="38"/>
      <c r="H933" s="38"/>
      <c r="I933" s="38"/>
      <c r="J933" s="38"/>
      <c r="K933" s="38"/>
      <c r="L933" s="55"/>
      <c r="M933" s="38"/>
      <c r="N933" s="38"/>
      <c r="O933" s="38"/>
      <c r="P933" s="38"/>
    </row>
    <row r="934" ht="15.75" customHeight="1">
      <c r="D934" s="38"/>
      <c r="E934" s="38"/>
      <c r="F934" s="38"/>
      <c r="G934" s="38"/>
      <c r="H934" s="38"/>
      <c r="I934" s="38"/>
      <c r="J934" s="38"/>
      <c r="K934" s="38"/>
      <c r="L934" s="55"/>
      <c r="M934" s="38"/>
      <c r="N934" s="38"/>
      <c r="O934" s="38"/>
      <c r="P934" s="38"/>
    </row>
    <row r="935" ht="15.75" customHeight="1">
      <c r="D935" s="38"/>
      <c r="E935" s="38"/>
      <c r="F935" s="38"/>
      <c r="G935" s="38"/>
      <c r="H935" s="38"/>
      <c r="I935" s="38"/>
      <c r="J935" s="38"/>
      <c r="K935" s="38"/>
      <c r="L935" s="55"/>
      <c r="M935" s="38"/>
      <c r="N935" s="38"/>
      <c r="O935" s="38"/>
      <c r="P935" s="38"/>
    </row>
    <row r="936" ht="15.75" customHeight="1">
      <c r="D936" s="38"/>
      <c r="E936" s="38"/>
      <c r="F936" s="38"/>
      <c r="G936" s="38"/>
      <c r="H936" s="38"/>
      <c r="I936" s="38"/>
      <c r="J936" s="38"/>
      <c r="K936" s="38"/>
      <c r="L936" s="55"/>
      <c r="M936" s="38"/>
      <c r="N936" s="38"/>
      <c r="O936" s="38"/>
      <c r="P936" s="38"/>
    </row>
    <row r="937" ht="15.75" customHeight="1">
      <c r="D937" s="38"/>
      <c r="E937" s="38"/>
      <c r="F937" s="38"/>
      <c r="G937" s="38"/>
      <c r="H937" s="38"/>
      <c r="I937" s="38"/>
      <c r="J937" s="38"/>
      <c r="K937" s="38"/>
      <c r="L937" s="55"/>
      <c r="M937" s="38"/>
      <c r="N937" s="38"/>
      <c r="O937" s="38"/>
      <c r="P937" s="38"/>
    </row>
    <row r="938" ht="15.75" customHeight="1">
      <c r="D938" s="38"/>
      <c r="E938" s="38"/>
      <c r="F938" s="38"/>
      <c r="G938" s="38"/>
      <c r="H938" s="38"/>
      <c r="I938" s="38"/>
      <c r="J938" s="38"/>
      <c r="K938" s="38"/>
      <c r="L938" s="55"/>
      <c r="M938" s="38"/>
      <c r="N938" s="38"/>
      <c r="O938" s="38"/>
      <c r="P938" s="38"/>
    </row>
    <row r="939" ht="15.75" customHeight="1">
      <c r="D939" s="38"/>
      <c r="E939" s="38"/>
      <c r="F939" s="38"/>
      <c r="G939" s="38"/>
      <c r="H939" s="38"/>
      <c r="I939" s="38"/>
      <c r="J939" s="38"/>
      <c r="K939" s="38"/>
      <c r="L939" s="55"/>
      <c r="M939" s="38"/>
      <c r="N939" s="38"/>
      <c r="O939" s="38"/>
      <c r="P939" s="38"/>
    </row>
    <row r="940" ht="15.75" customHeight="1">
      <c r="D940" s="38"/>
      <c r="E940" s="38"/>
      <c r="F940" s="38"/>
      <c r="G940" s="38"/>
      <c r="H940" s="38"/>
      <c r="I940" s="38"/>
      <c r="J940" s="38"/>
      <c r="K940" s="38"/>
      <c r="L940" s="55"/>
      <c r="M940" s="38"/>
      <c r="N940" s="38"/>
      <c r="O940" s="38"/>
      <c r="P940" s="38"/>
    </row>
    <row r="941" ht="15.75" customHeight="1">
      <c r="D941" s="38"/>
      <c r="E941" s="38"/>
      <c r="F941" s="38"/>
      <c r="G941" s="38"/>
      <c r="H941" s="38"/>
      <c r="I941" s="38"/>
      <c r="J941" s="38"/>
      <c r="K941" s="38"/>
      <c r="L941" s="55"/>
      <c r="M941" s="38"/>
      <c r="N941" s="38"/>
      <c r="O941" s="38"/>
      <c r="P941" s="38"/>
    </row>
    <row r="942" ht="15.75" customHeight="1">
      <c r="D942" s="38"/>
      <c r="E942" s="38"/>
      <c r="F942" s="38"/>
      <c r="G942" s="38"/>
      <c r="H942" s="38"/>
      <c r="I942" s="38"/>
      <c r="J942" s="38"/>
      <c r="K942" s="38"/>
      <c r="L942" s="55"/>
      <c r="M942" s="38"/>
      <c r="N942" s="38"/>
      <c r="O942" s="38"/>
      <c r="P942" s="38"/>
    </row>
    <row r="943" ht="15.75" customHeight="1">
      <c r="D943" s="38"/>
      <c r="E943" s="38"/>
      <c r="F943" s="38"/>
      <c r="G943" s="38"/>
      <c r="H943" s="38"/>
      <c r="I943" s="38"/>
      <c r="J943" s="38"/>
      <c r="K943" s="38"/>
      <c r="L943" s="55"/>
      <c r="M943" s="38"/>
      <c r="N943" s="38"/>
      <c r="O943" s="38"/>
      <c r="P943" s="38"/>
    </row>
    <row r="944" ht="15.75" customHeight="1">
      <c r="D944" s="38"/>
      <c r="E944" s="38"/>
      <c r="F944" s="38"/>
      <c r="G944" s="38"/>
      <c r="H944" s="38"/>
      <c r="I944" s="38"/>
      <c r="J944" s="38"/>
      <c r="K944" s="38"/>
      <c r="L944" s="55"/>
      <c r="M944" s="38"/>
      <c r="N944" s="38"/>
      <c r="O944" s="38"/>
      <c r="P944" s="38"/>
    </row>
    <row r="945" ht="15.75" customHeight="1">
      <c r="D945" s="38"/>
      <c r="E945" s="38"/>
      <c r="F945" s="38"/>
      <c r="G945" s="38"/>
      <c r="H945" s="38"/>
      <c r="I945" s="38"/>
      <c r="J945" s="38"/>
      <c r="K945" s="38"/>
      <c r="L945" s="55"/>
      <c r="M945" s="38"/>
      <c r="N945" s="38"/>
      <c r="O945" s="38"/>
      <c r="P945" s="38"/>
    </row>
    <row r="946" ht="15.75" customHeight="1">
      <c r="D946" s="38"/>
      <c r="E946" s="38"/>
      <c r="F946" s="38"/>
      <c r="G946" s="38"/>
      <c r="H946" s="38"/>
      <c r="I946" s="38"/>
      <c r="J946" s="38"/>
      <c r="K946" s="38"/>
      <c r="L946" s="55"/>
      <c r="M946" s="38"/>
      <c r="N946" s="38"/>
      <c r="O946" s="38"/>
      <c r="P946" s="38"/>
    </row>
    <row r="947" ht="15.75" customHeight="1">
      <c r="D947" s="38"/>
      <c r="E947" s="38"/>
      <c r="F947" s="38"/>
      <c r="G947" s="38"/>
      <c r="H947" s="38"/>
      <c r="I947" s="38"/>
      <c r="J947" s="38"/>
      <c r="K947" s="38"/>
      <c r="L947" s="55"/>
      <c r="M947" s="38"/>
      <c r="N947" s="38"/>
      <c r="O947" s="38"/>
      <c r="P947" s="38"/>
    </row>
    <row r="948" ht="15.75" customHeight="1">
      <c r="D948" s="38"/>
      <c r="E948" s="38"/>
      <c r="F948" s="38"/>
      <c r="G948" s="38"/>
      <c r="H948" s="38"/>
      <c r="I948" s="38"/>
      <c r="J948" s="38"/>
      <c r="K948" s="38"/>
      <c r="L948" s="55"/>
      <c r="M948" s="38"/>
      <c r="N948" s="38"/>
      <c r="O948" s="38"/>
      <c r="P948" s="38"/>
    </row>
    <row r="949" ht="15.75" customHeight="1">
      <c r="D949" s="38"/>
      <c r="E949" s="38"/>
      <c r="F949" s="38"/>
      <c r="G949" s="38"/>
      <c r="H949" s="38"/>
      <c r="I949" s="38"/>
      <c r="J949" s="38"/>
      <c r="K949" s="38"/>
      <c r="L949" s="55"/>
      <c r="M949" s="38"/>
      <c r="N949" s="38"/>
      <c r="O949" s="38"/>
      <c r="P949" s="38"/>
    </row>
    <row r="950" ht="15.75" customHeight="1">
      <c r="D950" s="38"/>
      <c r="E950" s="38"/>
      <c r="F950" s="38"/>
      <c r="G950" s="38"/>
      <c r="H950" s="38"/>
      <c r="I950" s="38"/>
      <c r="J950" s="38"/>
      <c r="K950" s="38"/>
      <c r="L950" s="55"/>
      <c r="M950" s="38"/>
      <c r="N950" s="38"/>
      <c r="O950" s="38"/>
      <c r="P950" s="38"/>
    </row>
    <row r="951" ht="15.75" customHeight="1">
      <c r="D951" s="38"/>
      <c r="E951" s="38"/>
      <c r="F951" s="38"/>
      <c r="G951" s="38"/>
      <c r="H951" s="38"/>
      <c r="I951" s="38"/>
      <c r="J951" s="38"/>
      <c r="K951" s="38"/>
      <c r="L951" s="55"/>
      <c r="M951" s="38"/>
      <c r="N951" s="38"/>
      <c r="O951" s="38"/>
      <c r="P951" s="38"/>
    </row>
    <row r="952" ht="15.75" customHeight="1">
      <c r="D952" s="38"/>
      <c r="E952" s="38"/>
      <c r="F952" s="38"/>
      <c r="G952" s="38"/>
      <c r="H952" s="38"/>
      <c r="I952" s="38"/>
      <c r="J952" s="38"/>
      <c r="K952" s="38"/>
      <c r="L952" s="55"/>
      <c r="M952" s="38"/>
      <c r="N952" s="38"/>
      <c r="O952" s="38"/>
      <c r="P952" s="38"/>
    </row>
    <row r="953" ht="15.75" customHeight="1">
      <c r="D953" s="38"/>
      <c r="E953" s="38"/>
      <c r="F953" s="38"/>
      <c r="G953" s="38"/>
      <c r="H953" s="38"/>
      <c r="I953" s="38"/>
      <c r="J953" s="38"/>
      <c r="K953" s="38"/>
      <c r="L953" s="55"/>
      <c r="M953" s="38"/>
      <c r="N953" s="38"/>
      <c r="O953" s="38"/>
      <c r="P953" s="38"/>
    </row>
    <row r="954" ht="15.75" customHeight="1">
      <c r="D954" s="38"/>
      <c r="E954" s="38"/>
      <c r="F954" s="38"/>
      <c r="G954" s="38"/>
      <c r="H954" s="38"/>
      <c r="I954" s="38"/>
      <c r="J954" s="38"/>
      <c r="K954" s="38"/>
      <c r="L954" s="55"/>
      <c r="M954" s="38"/>
      <c r="N954" s="38"/>
      <c r="O954" s="38"/>
      <c r="P954" s="38"/>
    </row>
    <row r="955" ht="15.75" customHeight="1">
      <c r="D955" s="38"/>
      <c r="E955" s="38"/>
      <c r="F955" s="38"/>
      <c r="G955" s="38"/>
      <c r="H955" s="38"/>
      <c r="I955" s="38"/>
      <c r="J955" s="38"/>
      <c r="K955" s="38"/>
      <c r="L955" s="55"/>
      <c r="M955" s="38"/>
      <c r="N955" s="38"/>
      <c r="O955" s="38"/>
      <c r="P955" s="38"/>
    </row>
    <row r="956" ht="15.75" customHeight="1">
      <c r="D956" s="38"/>
      <c r="E956" s="38"/>
      <c r="F956" s="38"/>
      <c r="G956" s="38"/>
      <c r="H956" s="38"/>
      <c r="I956" s="38"/>
      <c r="J956" s="38"/>
      <c r="K956" s="38"/>
      <c r="L956" s="55"/>
      <c r="M956" s="38"/>
      <c r="N956" s="38"/>
      <c r="O956" s="38"/>
      <c r="P956" s="38"/>
    </row>
    <row r="957" ht="15.75" customHeight="1">
      <c r="D957" s="38"/>
      <c r="E957" s="38"/>
      <c r="F957" s="38"/>
      <c r="G957" s="38"/>
      <c r="H957" s="38"/>
      <c r="I957" s="38"/>
      <c r="J957" s="38"/>
      <c r="K957" s="38"/>
      <c r="L957" s="55"/>
      <c r="M957" s="38"/>
      <c r="N957" s="38"/>
      <c r="O957" s="38"/>
      <c r="P957" s="38"/>
    </row>
    <row r="958" ht="15.75" customHeight="1">
      <c r="D958" s="38"/>
      <c r="E958" s="38"/>
      <c r="F958" s="38"/>
      <c r="G958" s="38"/>
      <c r="H958" s="38"/>
      <c r="I958" s="38"/>
      <c r="J958" s="38"/>
      <c r="K958" s="38"/>
      <c r="L958" s="55"/>
      <c r="M958" s="38"/>
      <c r="N958" s="38"/>
      <c r="O958" s="38"/>
      <c r="P958" s="38"/>
    </row>
    <row r="959" ht="15.75" customHeight="1">
      <c r="D959" s="38"/>
      <c r="E959" s="38"/>
      <c r="F959" s="38"/>
      <c r="G959" s="38"/>
      <c r="H959" s="38"/>
      <c r="I959" s="38"/>
      <c r="J959" s="38"/>
      <c r="K959" s="38"/>
      <c r="L959" s="55"/>
      <c r="M959" s="38"/>
      <c r="N959" s="38"/>
      <c r="O959" s="38"/>
      <c r="P959" s="38"/>
    </row>
    <row r="960" ht="15.75" customHeight="1">
      <c r="D960" s="38"/>
      <c r="E960" s="38"/>
      <c r="F960" s="38"/>
      <c r="G960" s="38"/>
      <c r="H960" s="38"/>
      <c r="I960" s="38"/>
      <c r="J960" s="38"/>
      <c r="K960" s="38"/>
      <c r="L960" s="55"/>
      <c r="M960" s="38"/>
      <c r="N960" s="38"/>
      <c r="O960" s="38"/>
      <c r="P960" s="38"/>
    </row>
    <row r="961" ht="15.75" customHeight="1">
      <c r="D961" s="38"/>
      <c r="E961" s="38"/>
      <c r="F961" s="38"/>
      <c r="G961" s="38"/>
      <c r="H961" s="38"/>
      <c r="I961" s="38"/>
      <c r="J961" s="38"/>
      <c r="K961" s="38"/>
      <c r="L961" s="55"/>
      <c r="M961" s="38"/>
      <c r="N961" s="38"/>
      <c r="O961" s="38"/>
      <c r="P961" s="38"/>
    </row>
    <row r="962" ht="15.75" customHeight="1">
      <c r="D962" s="38"/>
      <c r="E962" s="38"/>
      <c r="F962" s="38"/>
      <c r="G962" s="38"/>
      <c r="H962" s="38"/>
      <c r="I962" s="38"/>
      <c r="J962" s="38"/>
      <c r="K962" s="38"/>
      <c r="L962" s="55"/>
      <c r="M962" s="38"/>
      <c r="N962" s="38"/>
      <c r="O962" s="38"/>
      <c r="P962" s="38"/>
    </row>
    <row r="963" ht="15.75" customHeight="1">
      <c r="D963" s="38"/>
      <c r="E963" s="38"/>
      <c r="F963" s="38"/>
      <c r="G963" s="38"/>
      <c r="H963" s="38"/>
      <c r="I963" s="38"/>
      <c r="J963" s="38"/>
      <c r="K963" s="38"/>
      <c r="L963" s="55"/>
      <c r="M963" s="38"/>
      <c r="N963" s="38"/>
      <c r="O963" s="38"/>
      <c r="P963" s="38"/>
    </row>
    <row r="964" ht="15.75" customHeight="1">
      <c r="D964" s="38"/>
      <c r="E964" s="38"/>
      <c r="F964" s="38"/>
      <c r="G964" s="38"/>
      <c r="H964" s="38"/>
      <c r="I964" s="38"/>
      <c r="J964" s="38"/>
      <c r="K964" s="38"/>
      <c r="L964" s="55"/>
      <c r="M964" s="38"/>
      <c r="N964" s="38"/>
      <c r="O964" s="38"/>
      <c r="P964" s="38"/>
    </row>
    <row r="965" ht="15.75" customHeight="1">
      <c r="D965" s="38"/>
      <c r="E965" s="38"/>
      <c r="F965" s="38"/>
      <c r="G965" s="38"/>
      <c r="H965" s="38"/>
      <c r="I965" s="38"/>
      <c r="J965" s="38"/>
      <c r="K965" s="38"/>
      <c r="L965" s="55"/>
      <c r="M965" s="38"/>
      <c r="N965" s="38"/>
      <c r="O965" s="38"/>
      <c r="P965" s="38"/>
    </row>
    <row r="966" ht="15.75" customHeight="1">
      <c r="D966" s="38"/>
      <c r="E966" s="38"/>
      <c r="F966" s="38"/>
      <c r="G966" s="38"/>
      <c r="H966" s="38"/>
      <c r="I966" s="38"/>
      <c r="J966" s="38"/>
      <c r="K966" s="38"/>
      <c r="L966" s="55"/>
      <c r="M966" s="38"/>
      <c r="N966" s="38"/>
      <c r="O966" s="38"/>
      <c r="P966" s="38"/>
    </row>
    <row r="967" ht="15.75" customHeight="1">
      <c r="D967" s="38"/>
      <c r="E967" s="38"/>
      <c r="F967" s="38"/>
      <c r="G967" s="38"/>
      <c r="H967" s="38"/>
      <c r="I967" s="38"/>
      <c r="J967" s="38"/>
      <c r="K967" s="38"/>
      <c r="L967" s="55"/>
      <c r="M967" s="38"/>
      <c r="N967" s="38"/>
      <c r="O967" s="38"/>
      <c r="P967" s="38"/>
    </row>
    <row r="968" ht="15.75" customHeight="1">
      <c r="D968" s="38"/>
      <c r="E968" s="38"/>
      <c r="F968" s="38"/>
      <c r="G968" s="38"/>
      <c r="H968" s="38"/>
      <c r="I968" s="38"/>
      <c r="J968" s="38"/>
      <c r="K968" s="38"/>
      <c r="L968" s="55"/>
      <c r="M968" s="38"/>
      <c r="N968" s="38"/>
      <c r="O968" s="38"/>
      <c r="P968" s="38"/>
    </row>
    <row r="969" ht="15.75" customHeight="1">
      <c r="D969" s="38"/>
      <c r="E969" s="38"/>
      <c r="F969" s="38"/>
      <c r="G969" s="38"/>
      <c r="H969" s="38"/>
      <c r="I969" s="38"/>
      <c r="J969" s="38"/>
      <c r="K969" s="38"/>
      <c r="L969" s="55"/>
      <c r="M969" s="38"/>
      <c r="N969" s="38"/>
      <c r="O969" s="38"/>
      <c r="P969" s="38"/>
    </row>
    <row r="970" ht="15.75" customHeight="1">
      <c r="D970" s="38"/>
      <c r="E970" s="38"/>
      <c r="F970" s="38"/>
      <c r="G970" s="38"/>
      <c r="H970" s="38"/>
      <c r="I970" s="38"/>
      <c r="J970" s="38"/>
      <c r="K970" s="38"/>
      <c r="L970" s="55"/>
      <c r="M970" s="38"/>
      <c r="N970" s="38"/>
      <c r="O970" s="38"/>
      <c r="P970" s="38"/>
    </row>
    <row r="971" ht="15.75" customHeight="1">
      <c r="D971" s="38"/>
      <c r="E971" s="38"/>
      <c r="F971" s="38"/>
      <c r="G971" s="38"/>
      <c r="H971" s="38"/>
      <c r="I971" s="38"/>
      <c r="J971" s="38"/>
      <c r="K971" s="38"/>
      <c r="L971" s="55"/>
      <c r="M971" s="38"/>
      <c r="N971" s="38"/>
      <c r="O971" s="38"/>
      <c r="P971" s="38"/>
    </row>
    <row r="972" ht="15.75" customHeight="1">
      <c r="D972" s="38"/>
      <c r="E972" s="38"/>
      <c r="F972" s="38"/>
      <c r="G972" s="38"/>
      <c r="H972" s="38"/>
      <c r="I972" s="38"/>
      <c r="J972" s="38"/>
      <c r="K972" s="38"/>
      <c r="L972" s="55"/>
      <c r="M972" s="38"/>
      <c r="N972" s="38"/>
      <c r="O972" s="38"/>
      <c r="P972" s="38"/>
    </row>
    <row r="973" ht="15.75" customHeight="1">
      <c r="D973" s="38"/>
      <c r="E973" s="38"/>
      <c r="F973" s="38"/>
      <c r="G973" s="38"/>
      <c r="H973" s="38"/>
      <c r="I973" s="38"/>
      <c r="J973" s="38"/>
      <c r="K973" s="38"/>
      <c r="L973" s="55"/>
      <c r="M973" s="38"/>
      <c r="N973" s="38"/>
      <c r="O973" s="38"/>
      <c r="P973" s="38"/>
    </row>
    <row r="974" ht="15.75" customHeight="1">
      <c r="D974" s="38"/>
      <c r="E974" s="38"/>
      <c r="F974" s="38"/>
      <c r="G974" s="38"/>
      <c r="H974" s="38"/>
      <c r="I974" s="38"/>
      <c r="J974" s="38"/>
      <c r="K974" s="38"/>
      <c r="L974" s="55"/>
      <c r="M974" s="38"/>
      <c r="N974" s="38"/>
      <c r="O974" s="38"/>
      <c r="P974" s="38"/>
    </row>
    <row r="975" ht="15.75" customHeight="1">
      <c r="D975" s="38"/>
      <c r="E975" s="38"/>
      <c r="F975" s="38"/>
      <c r="G975" s="38"/>
      <c r="H975" s="38"/>
      <c r="I975" s="38"/>
      <c r="J975" s="38"/>
      <c r="K975" s="38"/>
      <c r="L975" s="55"/>
      <c r="M975" s="38"/>
      <c r="N975" s="38"/>
      <c r="O975" s="38"/>
      <c r="P975" s="38"/>
    </row>
    <row r="976" ht="15.75" customHeight="1">
      <c r="D976" s="38"/>
      <c r="E976" s="38"/>
      <c r="F976" s="38"/>
      <c r="G976" s="38"/>
      <c r="H976" s="38"/>
      <c r="I976" s="38"/>
      <c r="J976" s="38"/>
      <c r="K976" s="38"/>
      <c r="L976" s="55"/>
      <c r="M976" s="38"/>
      <c r="N976" s="38"/>
      <c r="O976" s="38"/>
      <c r="P976" s="38"/>
    </row>
    <row r="977" ht="15.75" customHeight="1">
      <c r="D977" s="38"/>
      <c r="E977" s="38"/>
      <c r="F977" s="38"/>
      <c r="G977" s="38"/>
      <c r="H977" s="38"/>
      <c r="I977" s="38"/>
      <c r="J977" s="38"/>
      <c r="K977" s="38"/>
      <c r="L977" s="55"/>
      <c r="M977" s="38"/>
      <c r="N977" s="38"/>
      <c r="O977" s="38"/>
      <c r="P977" s="38"/>
    </row>
    <row r="978" ht="15.75" customHeight="1">
      <c r="D978" s="38"/>
      <c r="E978" s="38"/>
      <c r="F978" s="38"/>
      <c r="G978" s="38"/>
      <c r="H978" s="38"/>
      <c r="I978" s="38"/>
      <c r="J978" s="38"/>
      <c r="K978" s="38"/>
      <c r="L978" s="55"/>
      <c r="M978" s="38"/>
      <c r="N978" s="38"/>
      <c r="O978" s="38"/>
      <c r="P978" s="38"/>
    </row>
    <row r="979" ht="15.75" customHeight="1">
      <c r="D979" s="38"/>
      <c r="E979" s="38"/>
      <c r="F979" s="38"/>
      <c r="G979" s="38"/>
      <c r="H979" s="38"/>
      <c r="I979" s="38"/>
      <c r="J979" s="38"/>
      <c r="K979" s="38"/>
      <c r="L979" s="55"/>
      <c r="M979" s="38"/>
      <c r="N979" s="38"/>
      <c r="O979" s="38"/>
      <c r="P979" s="38"/>
    </row>
    <row r="980" ht="15.75" customHeight="1">
      <c r="D980" s="38"/>
      <c r="E980" s="38"/>
      <c r="F980" s="38"/>
      <c r="G980" s="38"/>
      <c r="H980" s="38"/>
      <c r="I980" s="38"/>
      <c r="J980" s="38"/>
      <c r="K980" s="38"/>
      <c r="L980" s="55"/>
      <c r="M980" s="38"/>
      <c r="N980" s="38"/>
      <c r="O980" s="38"/>
      <c r="P980" s="38"/>
    </row>
    <row r="981" ht="15.75" customHeight="1">
      <c r="D981" s="38"/>
      <c r="E981" s="38"/>
      <c r="F981" s="38"/>
      <c r="G981" s="38"/>
      <c r="H981" s="38"/>
      <c r="I981" s="38"/>
      <c r="J981" s="38"/>
      <c r="K981" s="38"/>
      <c r="L981" s="55"/>
      <c r="M981" s="38"/>
      <c r="N981" s="38"/>
      <c r="O981" s="38"/>
      <c r="P981" s="38"/>
    </row>
    <row r="982" ht="15.75" customHeight="1">
      <c r="D982" s="38"/>
      <c r="E982" s="38"/>
      <c r="F982" s="38"/>
      <c r="G982" s="38"/>
      <c r="H982" s="38"/>
      <c r="I982" s="38"/>
      <c r="J982" s="38"/>
      <c r="K982" s="38"/>
      <c r="L982" s="55"/>
      <c r="M982" s="38"/>
      <c r="N982" s="38"/>
      <c r="O982" s="38"/>
      <c r="P982" s="38"/>
    </row>
    <row r="983" ht="15.75" customHeight="1">
      <c r="D983" s="38"/>
      <c r="E983" s="38"/>
      <c r="F983" s="38"/>
      <c r="G983" s="38"/>
      <c r="H983" s="38"/>
      <c r="I983" s="38"/>
      <c r="J983" s="38"/>
      <c r="K983" s="38"/>
      <c r="L983" s="55"/>
      <c r="M983" s="38"/>
      <c r="N983" s="38"/>
      <c r="O983" s="38"/>
      <c r="P983" s="38"/>
    </row>
    <row r="984" ht="15.75" customHeight="1">
      <c r="D984" s="38"/>
      <c r="E984" s="38"/>
      <c r="F984" s="38"/>
      <c r="G984" s="38"/>
      <c r="H984" s="38"/>
      <c r="I984" s="38"/>
      <c r="J984" s="38"/>
      <c r="K984" s="38"/>
      <c r="L984" s="55"/>
      <c r="M984" s="38"/>
      <c r="N984" s="38"/>
      <c r="O984" s="38"/>
      <c r="P984" s="38"/>
    </row>
    <row r="985" ht="15.75" customHeight="1">
      <c r="D985" s="38"/>
      <c r="E985" s="38"/>
      <c r="F985" s="38"/>
      <c r="G985" s="38"/>
      <c r="H985" s="38"/>
      <c r="I985" s="38"/>
      <c r="J985" s="38"/>
      <c r="K985" s="38"/>
      <c r="L985" s="55"/>
      <c r="M985" s="38"/>
      <c r="N985" s="38"/>
      <c r="O985" s="38"/>
      <c r="P985" s="38"/>
    </row>
    <row r="986" ht="15.75" customHeight="1">
      <c r="D986" s="38"/>
      <c r="E986" s="38"/>
      <c r="F986" s="38"/>
      <c r="G986" s="38"/>
      <c r="H986" s="38"/>
      <c r="I986" s="38"/>
      <c r="J986" s="38"/>
      <c r="K986" s="38"/>
      <c r="L986" s="55"/>
      <c r="M986" s="38"/>
      <c r="N986" s="38"/>
      <c r="O986" s="38"/>
      <c r="P986" s="38"/>
    </row>
    <row r="987" ht="15.75" customHeight="1">
      <c r="D987" s="38"/>
      <c r="E987" s="38"/>
      <c r="F987" s="38"/>
      <c r="G987" s="38"/>
      <c r="H987" s="38"/>
      <c r="I987" s="38"/>
      <c r="J987" s="38"/>
      <c r="K987" s="38"/>
      <c r="L987" s="55"/>
      <c r="M987" s="38"/>
      <c r="N987" s="38"/>
      <c r="O987" s="38"/>
      <c r="P987" s="38"/>
    </row>
    <row r="988" ht="15.75" customHeight="1">
      <c r="D988" s="38"/>
      <c r="E988" s="38"/>
      <c r="F988" s="38"/>
      <c r="G988" s="38"/>
      <c r="H988" s="38"/>
      <c r="I988" s="38"/>
      <c r="J988" s="38"/>
      <c r="K988" s="38"/>
      <c r="L988" s="55"/>
      <c r="M988" s="38"/>
      <c r="N988" s="38"/>
      <c r="O988" s="38"/>
      <c r="P988" s="38"/>
    </row>
    <row r="989" ht="15.75" customHeight="1">
      <c r="D989" s="38"/>
      <c r="E989" s="38"/>
      <c r="F989" s="38"/>
      <c r="G989" s="38"/>
      <c r="H989" s="38"/>
      <c r="I989" s="38"/>
      <c r="J989" s="38"/>
      <c r="K989" s="38"/>
      <c r="L989" s="55"/>
      <c r="M989" s="38"/>
      <c r="N989" s="38"/>
      <c r="O989" s="38"/>
      <c r="P989" s="38"/>
    </row>
    <row r="990" ht="15.75" customHeight="1">
      <c r="D990" s="38"/>
      <c r="E990" s="38"/>
      <c r="F990" s="38"/>
      <c r="G990" s="38"/>
      <c r="H990" s="38"/>
      <c r="I990" s="38"/>
      <c r="J990" s="38"/>
      <c r="K990" s="38"/>
      <c r="L990" s="55"/>
      <c r="M990" s="38"/>
      <c r="N990" s="38"/>
      <c r="O990" s="38"/>
      <c r="P990" s="38"/>
    </row>
    <row r="991" ht="15.75" customHeight="1">
      <c r="D991" s="38"/>
      <c r="E991" s="38"/>
      <c r="F991" s="38"/>
      <c r="G991" s="38"/>
      <c r="H991" s="38"/>
      <c r="I991" s="38"/>
      <c r="J991" s="38"/>
      <c r="K991" s="38"/>
      <c r="L991" s="55"/>
      <c r="M991" s="38"/>
      <c r="N991" s="38"/>
      <c r="O991" s="38"/>
      <c r="P991" s="38"/>
    </row>
    <row r="992" ht="15.75" customHeight="1">
      <c r="D992" s="38"/>
      <c r="E992" s="38"/>
      <c r="F992" s="38"/>
      <c r="G992" s="38"/>
      <c r="H992" s="38"/>
      <c r="I992" s="38"/>
      <c r="J992" s="38"/>
      <c r="K992" s="38"/>
      <c r="L992" s="55"/>
      <c r="M992" s="38"/>
      <c r="N992" s="38"/>
      <c r="O992" s="38"/>
      <c r="P992" s="38"/>
    </row>
    <row r="993" ht="15.75" customHeight="1">
      <c r="D993" s="38"/>
      <c r="E993" s="38"/>
      <c r="F993" s="38"/>
      <c r="G993" s="38"/>
      <c r="H993" s="38"/>
      <c r="I993" s="38"/>
      <c r="J993" s="38"/>
      <c r="K993" s="38"/>
      <c r="L993" s="55"/>
      <c r="M993" s="38"/>
      <c r="N993" s="38"/>
      <c r="O993" s="38"/>
      <c r="P993" s="38"/>
    </row>
    <row r="994" ht="15.75" customHeight="1">
      <c r="D994" s="38"/>
      <c r="E994" s="38"/>
      <c r="F994" s="38"/>
      <c r="G994" s="38"/>
      <c r="H994" s="38"/>
      <c r="I994" s="38"/>
      <c r="J994" s="38"/>
      <c r="K994" s="38"/>
      <c r="L994" s="55"/>
      <c r="M994" s="38"/>
      <c r="N994" s="38"/>
      <c r="O994" s="38"/>
      <c r="P994" s="38"/>
    </row>
    <row r="995" ht="15.75" customHeight="1">
      <c r="D995" s="38"/>
      <c r="E995" s="38"/>
      <c r="F995" s="38"/>
      <c r="G995" s="38"/>
      <c r="H995" s="38"/>
      <c r="I995" s="38"/>
      <c r="J995" s="38"/>
      <c r="K995" s="38"/>
      <c r="L995" s="55"/>
      <c r="M995" s="38"/>
      <c r="N995" s="38"/>
      <c r="O995" s="38"/>
      <c r="P995" s="38"/>
    </row>
    <row r="996" ht="15.75" customHeight="1">
      <c r="D996" s="38"/>
      <c r="E996" s="38"/>
      <c r="F996" s="38"/>
      <c r="G996" s="38"/>
      <c r="H996" s="38"/>
      <c r="I996" s="38"/>
      <c r="J996" s="38"/>
      <c r="K996" s="38"/>
      <c r="L996" s="55"/>
      <c r="M996" s="38"/>
      <c r="N996" s="38"/>
      <c r="O996" s="38"/>
      <c r="P996" s="38"/>
    </row>
    <row r="997" ht="15.75" customHeight="1">
      <c r="D997" s="38"/>
      <c r="E997" s="38"/>
      <c r="F997" s="38"/>
      <c r="G997" s="38"/>
      <c r="H997" s="38"/>
      <c r="I997" s="38"/>
      <c r="J997" s="38"/>
      <c r="K997" s="38"/>
      <c r="L997" s="55"/>
      <c r="M997" s="38"/>
      <c r="N997" s="38"/>
      <c r="O997" s="38"/>
      <c r="P997" s="38"/>
    </row>
    <row r="998" ht="15.75" customHeight="1">
      <c r="D998" s="38"/>
      <c r="E998" s="38"/>
      <c r="F998" s="38"/>
      <c r="G998" s="38"/>
      <c r="H998" s="38"/>
      <c r="I998" s="38"/>
      <c r="J998" s="38"/>
      <c r="K998" s="38"/>
      <c r="L998" s="55"/>
      <c r="M998" s="38"/>
      <c r="N998" s="38"/>
      <c r="O998" s="38"/>
      <c r="P998" s="38"/>
    </row>
    <row r="999" ht="15.75" customHeight="1">
      <c r="D999" s="38"/>
      <c r="E999" s="38"/>
      <c r="F999" s="38"/>
      <c r="G999" s="38"/>
      <c r="H999" s="38"/>
      <c r="I999" s="38"/>
      <c r="J999" s="38"/>
      <c r="K999" s="38"/>
      <c r="L999" s="55"/>
      <c r="M999" s="38"/>
      <c r="N999" s="38"/>
      <c r="O999" s="38"/>
      <c r="P999" s="38"/>
    </row>
    <row r="1000" ht="15.75" customHeight="1">
      <c r="D1000" s="38"/>
      <c r="E1000" s="38"/>
      <c r="F1000" s="38"/>
      <c r="G1000" s="38"/>
      <c r="H1000" s="38"/>
      <c r="I1000" s="38"/>
      <c r="J1000" s="38"/>
      <c r="K1000" s="38"/>
      <c r="L1000" s="55"/>
      <c r="M1000" s="38"/>
      <c r="N1000" s="38"/>
      <c r="O1000" s="38"/>
      <c r="P1000" s="38"/>
    </row>
    <row r="1001" ht="15.75" customHeight="1">
      <c r="D1001" s="38"/>
      <c r="E1001" s="38"/>
      <c r="F1001" s="38"/>
      <c r="G1001" s="38"/>
      <c r="H1001" s="38"/>
      <c r="I1001" s="38"/>
      <c r="J1001" s="38"/>
      <c r="K1001" s="38"/>
      <c r="L1001" s="55"/>
      <c r="M1001" s="38"/>
      <c r="N1001" s="38"/>
      <c r="O1001" s="38"/>
      <c r="P1001" s="38"/>
    </row>
    <row r="1002" ht="15.75" customHeight="1">
      <c r="D1002" s="38"/>
      <c r="E1002" s="38"/>
      <c r="F1002" s="38"/>
      <c r="G1002" s="38"/>
      <c r="H1002" s="38"/>
      <c r="I1002" s="38"/>
      <c r="J1002" s="38"/>
      <c r="K1002" s="38"/>
      <c r="L1002" s="55"/>
      <c r="M1002" s="38"/>
      <c r="N1002" s="38"/>
      <c r="O1002" s="38"/>
      <c r="P1002" s="38"/>
    </row>
    <row r="1003" ht="15.75" customHeight="1">
      <c r="D1003" s="38"/>
      <c r="E1003" s="38"/>
      <c r="F1003" s="38"/>
      <c r="G1003" s="38"/>
      <c r="H1003" s="38"/>
      <c r="I1003" s="38"/>
      <c r="J1003" s="38"/>
      <c r="K1003" s="38"/>
      <c r="L1003" s="55"/>
      <c r="M1003" s="38"/>
      <c r="N1003" s="38"/>
      <c r="O1003" s="38"/>
      <c r="P1003" s="38"/>
    </row>
    <row r="1004" ht="15.75" customHeight="1">
      <c r="D1004" s="38"/>
      <c r="E1004" s="38"/>
      <c r="F1004" s="38"/>
      <c r="G1004" s="38"/>
      <c r="H1004" s="38"/>
      <c r="I1004" s="38"/>
      <c r="J1004" s="38"/>
      <c r="K1004" s="38"/>
      <c r="L1004" s="55"/>
      <c r="M1004" s="38"/>
      <c r="N1004" s="38"/>
      <c r="O1004" s="38"/>
      <c r="P1004" s="38"/>
    </row>
    <row r="1005" ht="15.75" customHeight="1">
      <c r="D1005" s="38"/>
      <c r="E1005" s="38"/>
      <c r="F1005" s="38"/>
      <c r="G1005" s="38"/>
      <c r="H1005" s="38"/>
      <c r="I1005" s="38"/>
      <c r="J1005" s="38"/>
      <c r="K1005" s="38"/>
      <c r="L1005" s="55"/>
      <c r="M1005" s="38"/>
      <c r="N1005" s="38"/>
      <c r="O1005" s="38"/>
      <c r="P1005" s="38"/>
    </row>
  </sheetData>
  <mergeCells count="26">
    <mergeCell ref="A35:B35"/>
    <mergeCell ref="A48:B48"/>
    <mergeCell ref="P53:P58"/>
    <mergeCell ref="P64:P66"/>
    <mergeCell ref="A5:B5"/>
    <mergeCell ref="C5:C12"/>
    <mergeCell ref="A13:B13"/>
    <mergeCell ref="C13:C19"/>
    <mergeCell ref="A20:B20"/>
    <mergeCell ref="C20:C34"/>
    <mergeCell ref="C35:C47"/>
    <mergeCell ref="C97:C112"/>
    <mergeCell ref="C114:C129"/>
    <mergeCell ref="C131:C146"/>
    <mergeCell ref="C149:C164"/>
    <mergeCell ref="C167:C182"/>
    <mergeCell ref="A131:B131"/>
    <mergeCell ref="A149:B149"/>
    <mergeCell ref="A167:B167"/>
    <mergeCell ref="C48:C63"/>
    <mergeCell ref="A64:B64"/>
    <mergeCell ref="C64:C79"/>
    <mergeCell ref="A80:B80"/>
    <mergeCell ref="C80:C95"/>
    <mergeCell ref="A97:B97"/>
    <mergeCell ref="A114:B114"/>
  </mergeCells>
  <conditionalFormatting sqref="A2:A3 B2 H5:I1005 B7">
    <cfRule type="cellIs" dxfId="5" priority="1" operator="greaterThan">
      <formula>0</formula>
    </cfRule>
  </conditionalFormatting>
  <conditionalFormatting sqref="A2:A3 B2 H5:I1005 B7">
    <cfRule type="cellIs" dxfId="6" priority="2" operator="lessThan">
      <formula>0</formula>
    </cfRule>
  </conditionalFormatting>
  <conditionalFormatting sqref="C5">
    <cfRule type="cellIs" dxfId="5" priority="3" operator="greaterThan">
      <formula>0</formula>
    </cfRule>
  </conditionalFormatting>
  <conditionalFormatting sqref="C5">
    <cfRule type="cellIs" dxfId="6" priority="4" operator="lessThan">
      <formula>0</formula>
    </cfRule>
  </conditionalFormatting>
  <conditionalFormatting sqref="C13">
    <cfRule type="cellIs" dxfId="5" priority="5" operator="greaterThan">
      <formula>0</formula>
    </cfRule>
  </conditionalFormatting>
  <conditionalFormatting sqref="C13">
    <cfRule type="cellIs" dxfId="6" priority="6" operator="lessThan">
      <formula>0</formula>
    </cfRule>
  </conditionalFormatting>
  <conditionalFormatting sqref="B15">
    <cfRule type="cellIs" dxfId="5" priority="7" operator="greaterThan">
      <formula>0</formula>
    </cfRule>
  </conditionalFormatting>
  <conditionalFormatting sqref="B15">
    <cfRule type="cellIs" dxfId="6" priority="8" operator="lessThan">
      <formula>0</formula>
    </cfRule>
  </conditionalFormatting>
  <conditionalFormatting sqref="C20">
    <cfRule type="cellIs" dxfId="5" priority="9" operator="greaterThan">
      <formula>0</formula>
    </cfRule>
  </conditionalFormatting>
  <conditionalFormatting sqref="C20">
    <cfRule type="cellIs" dxfId="6" priority="10" operator="lessThan">
      <formula>0</formula>
    </cfRule>
  </conditionalFormatting>
  <conditionalFormatting sqref="B22">
    <cfRule type="cellIs" dxfId="5" priority="11" operator="greaterThan">
      <formula>0</formula>
    </cfRule>
  </conditionalFormatting>
  <conditionalFormatting sqref="B22">
    <cfRule type="cellIs" dxfId="6" priority="12" operator="lessThan">
      <formula>0</formula>
    </cfRule>
  </conditionalFormatting>
  <conditionalFormatting sqref="B37">
    <cfRule type="cellIs" dxfId="5" priority="13" operator="greaterThan">
      <formula>0</formula>
    </cfRule>
  </conditionalFormatting>
  <conditionalFormatting sqref="B37">
    <cfRule type="cellIs" dxfId="6" priority="14" operator="lessThan">
      <formula>0</formula>
    </cfRule>
  </conditionalFormatting>
  <conditionalFormatting sqref="C35">
    <cfRule type="cellIs" dxfId="5" priority="15" operator="greaterThan">
      <formula>0</formula>
    </cfRule>
  </conditionalFormatting>
  <conditionalFormatting sqref="C35">
    <cfRule type="cellIs" dxfId="6" priority="16" operator="lessThan">
      <formula>0</formula>
    </cfRule>
  </conditionalFormatting>
  <conditionalFormatting sqref="C48">
    <cfRule type="cellIs" dxfId="5" priority="17" operator="greaterThan">
      <formula>0</formula>
    </cfRule>
  </conditionalFormatting>
  <conditionalFormatting sqref="C48">
    <cfRule type="cellIs" dxfId="6" priority="18" operator="lessThan">
      <formula>0</formula>
    </cfRule>
  </conditionalFormatting>
  <conditionalFormatting sqref="B50">
    <cfRule type="cellIs" dxfId="5" priority="19" operator="greaterThan">
      <formula>0</formula>
    </cfRule>
  </conditionalFormatting>
  <conditionalFormatting sqref="B50">
    <cfRule type="cellIs" dxfId="6" priority="20" operator="lessThan">
      <formula>0</formula>
    </cfRule>
  </conditionalFormatting>
  <conditionalFormatting sqref="C64 C80 C97 C114 C131 C149 C167">
    <cfRule type="cellIs" dxfId="5" priority="21" operator="greaterThan">
      <formula>0</formula>
    </cfRule>
  </conditionalFormatting>
  <conditionalFormatting sqref="C64 C80 C97 C114 C131 C149 C167">
    <cfRule type="cellIs" dxfId="6" priority="22" operator="lessThan">
      <formula>0</formula>
    </cfRule>
  </conditionalFormatting>
  <conditionalFormatting sqref="B66 B82 B99 B116 B133 B151 B169">
    <cfRule type="cellIs" dxfId="5" priority="23" operator="greaterThan">
      <formula>0</formula>
    </cfRule>
  </conditionalFormatting>
  <conditionalFormatting sqref="B66 B82 B99 B116 B133 B151 B169">
    <cfRule type="cellIs" dxfId="6" priority="24" operator="lessThan">
      <formula>0</formula>
    </cfRule>
  </conditionalFormatting>
  <hyperlinks>
    <hyperlink r:id="rId1" location="detail=140507" ref="P50"/>
  </hyperlinks>
  <printOptions/>
  <pageMargins bottom="0.75" footer="0.0" header="0.0" left="0.7" right="0.7" top="0.75"/>
  <pageSetup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39.56"/>
    <col customWidth="1" min="3" max="3" width="6.78"/>
    <col customWidth="1" min="4" max="4" width="11.67"/>
    <col customWidth="1" min="5" max="5" width="21.11"/>
    <col customWidth="1" min="6" max="11" width="6.78"/>
    <col customWidth="1" min="12" max="12" width="23.0"/>
    <col customWidth="1" min="13" max="23" width="6.78"/>
  </cols>
  <sheetData>
    <row r="1" ht="15.75" customHeight="1"/>
    <row r="2" ht="15.75" customHeight="1"/>
    <row r="3" ht="15.75" customHeight="1"/>
    <row r="4" ht="15.75" customHeight="1"/>
    <row r="5" ht="56.25" customHeight="1">
      <c r="B5" s="2" t="s">
        <v>309</v>
      </c>
      <c r="C5" s="4" t="s">
        <v>310</v>
      </c>
      <c r="D5" s="4" t="s">
        <v>3</v>
      </c>
      <c r="E5" s="144">
        <f>IF(OR(D6&lt;&gt;"PASS", D7&lt;&gt;"PASS", D8&lt;&gt;"PASS"), "NO TRADE", SUM(E10:E15))</f>
        <v>70</v>
      </c>
      <c r="F5" s="145" t="str">
        <f>IF(E5="NO TRADE",
    "NO TRADE",
    IFS(
        E5&gt;=91, "A+",
        E5&gt;=81, "A",
        E5&gt;=71, "B",
        E5&gt;=61, "C",
        E5&gt;=51, "D",
        TRUE, "E"
    )
)</f>
        <v>C</v>
      </c>
    </row>
    <row r="6" ht="15.75" customHeight="1">
      <c r="B6" s="5" t="s">
        <v>7</v>
      </c>
      <c r="C6" s="49"/>
      <c r="D6" s="4" t="s">
        <v>8</v>
      </c>
      <c r="E6" s="146">
        <f t="shared" ref="E6:E8" si="1">IF(D6="PASS",1,0)</f>
        <v>1</v>
      </c>
    </row>
    <row r="7" ht="15.75" customHeight="1">
      <c r="B7" s="6" t="s">
        <v>312</v>
      </c>
      <c r="C7" s="49"/>
      <c r="D7" s="4" t="s">
        <v>8</v>
      </c>
      <c r="E7" s="146">
        <f t="shared" si="1"/>
        <v>1</v>
      </c>
    </row>
    <row r="8" ht="15.75" customHeight="1">
      <c r="B8" s="6" t="s">
        <v>9</v>
      </c>
      <c r="C8" s="49"/>
      <c r="D8" s="4" t="s">
        <v>8</v>
      </c>
      <c r="E8" s="146">
        <f t="shared" si="1"/>
        <v>1</v>
      </c>
    </row>
    <row r="9" ht="33.0" customHeight="1">
      <c r="B9" s="2" t="s">
        <v>314</v>
      </c>
      <c r="C9" s="49"/>
      <c r="D9" s="4"/>
      <c r="E9" s="146"/>
    </row>
    <row r="10" ht="15.75" customHeight="1">
      <c r="B10" s="6" t="s">
        <v>315</v>
      </c>
      <c r="C10" s="6">
        <v>30.0</v>
      </c>
      <c r="D10" s="4" t="s">
        <v>8</v>
      </c>
      <c r="E10" s="146">
        <f t="shared" ref="E10:E15" si="2">IF(D10="PASS",C10,0)</f>
        <v>30</v>
      </c>
    </row>
    <row r="11" ht="15.75" customHeight="1">
      <c r="B11" s="6" t="s">
        <v>466</v>
      </c>
      <c r="C11" s="6">
        <v>20.0</v>
      </c>
      <c r="D11" s="4" t="s">
        <v>353</v>
      </c>
      <c r="E11" s="146">
        <f t="shared" si="2"/>
        <v>0</v>
      </c>
    </row>
    <row r="12" ht="15.75" customHeight="1">
      <c r="B12" s="6" t="s">
        <v>467</v>
      </c>
      <c r="C12" s="6">
        <v>10.0</v>
      </c>
      <c r="D12" s="4" t="s">
        <v>353</v>
      </c>
      <c r="E12" s="146">
        <f t="shared" si="2"/>
        <v>0</v>
      </c>
    </row>
    <row r="13" ht="15.75" customHeight="1">
      <c r="B13" s="6" t="s">
        <v>468</v>
      </c>
      <c r="C13" s="6">
        <v>10.0</v>
      </c>
      <c r="D13" s="4" t="s">
        <v>8</v>
      </c>
      <c r="E13" s="146">
        <f t="shared" si="2"/>
        <v>10</v>
      </c>
    </row>
    <row r="14" ht="15.75" customHeight="1">
      <c r="B14" s="6" t="s">
        <v>469</v>
      </c>
      <c r="C14" s="6">
        <v>10.0</v>
      </c>
      <c r="D14" s="4" t="s">
        <v>8</v>
      </c>
      <c r="E14" s="146">
        <f t="shared" si="2"/>
        <v>10</v>
      </c>
    </row>
    <row r="15" ht="15.75" customHeight="1">
      <c r="B15" s="4" t="s">
        <v>470</v>
      </c>
      <c r="C15" s="4">
        <v>20.0</v>
      </c>
      <c r="D15" s="4" t="s">
        <v>8</v>
      </c>
      <c r="E15" s="146">
        <f t="shared" si="2"/>
        <v>20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F5:L14"/>
  </mergeCells>
  <dataValidations>
    <dataValidation type="list" allowBlank="1" showErrorMessage="1" sqref="D6:D15">
      <formula1>"PASS,FAIL,Uncheck"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2022-12-04T15:44:58Z</dcterms:created>
  <dc:creator>EE</dc:creator>
</cp:coreProperties>
</file>